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publicconsultinggroup-my.sharepoint.com/personal/jacurtis_pcgus_com/Documents/Documents/"/>
    </mc:Choice>
  </mc:AlternateContent>
  <xr:revisionPtr revIDLastSave="540" documentId="8_{FA1BE3DA-D4F6-4D8A-9DAD-F5F2CCC7F437}" xr6:coauthVersionLast="47" xr6:coauthVersionMax="47" xr10:uidLastSave="{E494143E-BF08-4606-B717-3B56091C7C11}"/>
  <bookViews>
    <workbookView xWindow="5775" yWindow="3030" windowWidth="19425" windowHeight="11505" firstSheet="1" activeTab="1" xr2:uid="{00000000-000D-0000-FFFF-FFFF00000000}"/>
  </bookViews>
  <sheets>
    <sheet name="Purpose &amp; Methodology" sheetId="1" r:id="rId1"/>
    <sheet name="Master Scorecard" sheetId="2" r:id="rId2"/>
    <sheet name="CSI" sheetId="6" r:id="rId3"/>
    <sheet name="TSI" sheetId="7" r:id="rId4"/>
    <sheet name="Basic District Info" sheetId="3" r:id="rId5"/>
    <sheet name="District Contacts" sheetId="8" r:id="rId6"/>
    <sheet name="Leadership and Governance" sheetId="4" r:id="rId7"/>
    <sheet name="Strategic Indicators" sheetId="5" r:id="rId8"/>
  </sheets>
  <definedNames>
    <definedName name="_xlnm._FilterDatabase" localSheetId="2" hidden="1">CSI!$A$1:$Q$1</definedName>
    <definedName name="_xlnm._FilterDatabase" localSheetId="5" hidden="1">'District Contacts'!$A$1:$G$203</definedName>
    <definedName name="_xlnm._FilterDatabase" localSheetId="3" hidden="1">TSI!$A$1:$I$1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2" l="1"/>
  <c r="O6" i="2" s="1"/>
  <c r="P6" i="2" s="1"/>
  <c r="J16" i="2"/>
  <c r="O16" i="2" s="1"/>
  <c r="P16" i="2" s="1"/>
  <c r="J17" i="2"/>
  <c r="O17" i="2" s="1"/>
  <c r="P17" i="2" s="1"/>
  <c r="J19" i="2"/>
  <c r="O19" i="2" s="1"/>
  <c r="P19" i="2" s="1"/>
  <c r="J20" i="2"/>
  <c r="O20" i="2" s="1"/>
  <c r="P20" i="2" s="1"/>
  <c r="J21" i="2"/>
  <c r="O21" i="2" s="1"/>
  <c r="P21" i="2" s="1"/>
  <c r="J22" i="2"/>
  <c r="O22" i="2" s="1"/>
  <c r="P22" i="2" s="1"/>
  <c r="J28" i="2"/>
  <c r="O28" i="2" s="1"/>
  <c r="P28" i="2" s="1"/>
  <c r="J27" i="2"/>
  <c r="O27" i="2" s="1"/>
  <c r="P27" i="2" s="1"/>
  <c r="J26" i="2"/>
  <c r="O26" i="2" s="1"/>
  <c r="P26" i="2" s="1"/>
  <c r="J25" i="2"/>
  <c r="O25" i="2" s="1"/>
  <c r="P25" i="2" s="1"/>
  <c r="J24" i="2"/>
  <c r="O24" i="2" s="1"/>
  <c r="P24" i="2" s="1"/>
  <c r="J15" i="2"/>
  <c r="O15" i="2" s="1"/>
  <c r="P15" i="2" s="1"/>
  <c r="J14" i="2"/>
  <c r="O14" i="2" s="1"/>
  <c r="P14" i="2" s="1"/>
  <c r="J13" i="2"/>
  <c r="O13" i="2" s="1"/>
  <c r="P13" i="2" s="1"/>
  <c r="J12" i="2"/>
  <c r="O12" i="2" s="1"/>
  <c r="P12" i="2" s="1"/>
  <c r="J11" i="2"/>
  <c r="O11" i="2" s="1"/>
  <c r="P11" i="2" s="1"/>
  <c r="J10" i="2"/>
  <c r="O10" i="2" s="1"/>
  <c r="P10" i="2" s="1"/>
  <c r="J9" i="2"/>
  <c r="O9" i="2" s="1"/>
  <c r="P9" i="2" s="1"/>
  <c r="J3" i="2"/>
  <c r="O3" i="2" s="1"/>
  <c r="P3" i="2" s="1"/>
  <c r="J2" i="2"/>
  <c r="O2" i="2" s="1"/>
  <c r="P2" i="2" s="1"/>
  <c r="J23" i="2"/>
  <c r="O23" i="2" s="1"/>
  <c r="P23" i="2" s="1"/>
  <c r="N3" i="3"/>
  <c r="N4" i="3"/>
  <c r="N5" i="3"/>
  <c r="N6" i="3"/>
  <c r="N7" i="3"/>
  <c r="N8" i="3"/>
  <c r="N9" i="3"/>
  <c r="N10" i="3"/>
  <c r="N11" i="3"/>
  <c r="N12" i="3"/>
  <c r="N13" i="3"/>
  <c r="N14" i="3"/>
  <c r="N15" i="3"/>
  <c r="N16" i="3"/>
  <c r="N17" i="3"/>
  <c r="N18" i="3"/>
  <c r="N19" i="3"/>
  <c r="N20" i="3"/>
  <c r="N21" i="3"/>
  <c r="N22" i="3"/>
  <c r="N23" i="3"/>
  <c r="N24" i="3"/>
  <c r="N25" i="3"/>
  <c r="N26" i="3"/>
  <c r="N27" i="3"/>
  <c r="N28" i="3"/>
  <c r="N2" i="3"/>
  <c r="M3" i="3"/>
  <c r="M4" i="3"/>
  <c r="M5" i="3"/>
  <c r="M6" i="3"/>
  <c r="M7" i="3"/>
  <c r="M8" i="3"/>
  <c r="M9" i="3"/>
  <c r="M10" i="3"/>
  <c r="M11" i="3"/>
  <c r="M12" i="3"/>
  <c r="M13" i="3"/>
  <c r="M14" i="3"/>
  <c r="M15" i="3"/>
  <c r="M16" i="3"/>
  <c r="M17" i="3"/>
  <c r="M18" i="3"/>
  <c r="M19" i="3"/>
  <c r="M20" i="3"/>
  <c r="M21" i="3"/>
  <c r="M22" i="3"/>
  <c r="M23" i="3"/>
  <c r="M24" i="3"/>
  <c r="M25" i="3"/>
  <c r="M26" i="3"/>
  <c r="M27" i="3"/>
  <c r="M28" i="3"/>
  <c r="M2" i="3"/>
  <c r="N3" i="2"/>
  <c r="N4" i="2"/>
  <c r="N5" i="2"/>
  <c r="N6" i="2"/>
  <c r="N7" i="2"/>
  <c r="N8" i="2"/>
  <c r="N9" i="2"/>
  <c r="N10" i="2"/>
  <c r="N11" i="2"/>
  <c r="N12" i="2"/>
  <c r="N13" i="2"/>
  <c r="N14" i="2"/>
  <c r="N15" i="2"/>
  <c r="N16" i="2"/>
  <c r="N17" i="2"/>
  <c r="N18" i="2"/>
  <c r="N19" i="2"/>
  <c r="N20" i="2"/>
  <c r="N21" i="2"/>
  <c r="N22" i="2"/>
  <c r="N23" i="2"/>
  <c r="N24" i="2"/>
  <c r="N25" i="2"/>
  <c r="N26" i="2"/>
  <c r="N27" i="2"/>
  <c r="N28" i="2"/>
  <c r="N2" i="2"/>
  <c r="L2" i="2"/>
  <c r="L3" i="2"/>
  <c r="L4" i="2"/>
  <c r="L5" i="2"/>
  <c r="L6" i="2"/>
  <c r="L7" i="2"/>
  <c r="L8" i="2"/>
  <c r="L9" i="2"/>
  <c r="L10" i="2"/>
  <c r="L11" i="2"/>
  <c r="L12" i="2"/>
  <c r="L13" i="2"/>
  <c r="L14" i="2"/>
  <c r="L15" i="2"/>
  <c r="L16" i="2"/>
  <c r="L17" i="2"/>
  <c r="L18" i="2"/>
  <c r="L19" i="2"/>
  <c r="L20" i="2"/>
  <c r="L21" i="2"/>
  <c r="L22" i="2"/>
  <c r="L23" i="2"/>
  <c r="L24" i="2"/>
  <c r="L25" i="2"/>
  <c r="L26" i="2"/>
  <c r="L27" i="2"/>
  <c r="L28" i="2"/>
  <c r="J4" i="2"/>
  <c r="O4" i="2" s="1"/>
  <c r="P4" i="2" s="1"/>
  <c r="J5" i="2"/>
  <c r="O5" i="2" s="1"/>
  <c r="P5" i="2" s="1"/>
  <c r="J7" i="2"/>
  <c r="O7" i="2" s="1"/>
  <c r="P7" i="2" s="1"/>
  <c r="J8" i="2"/>
  <c r="O8" i="2" s="1"/>
  <c r="P8" i="2" s="1"/>
  <c r="J18" i="2"/>
  <c r="O18" i="2" s="1"/>
  <c r="P18" i="2" s="1"/>
  <c r="C3" i="2"/>
  <c r="C4" i="2"/>
  <c r="C5" i="2"/>
  <c r="C6" i="2"/>
  <c r="C7" i="2"/>
  <c r="C8" i="2"/>
  <c r="C9" i="2"/>
  <c r="C10" i="2"/>
  <c r="C11" i="2"/>
  <c r="C12" i="2"/>
  <c r="C13" i="2"/>
  <c r="C14" i="2"/>
  <c r="C15" i="2"/>
  <c r="C16" i="2"/>
  <c r="C17" i="2"/>
  <c r="C18" i="2"/>
  <c r="C19" i="2"/>
  <c r="C20" i="2"/>
  <c r="C21" i="2"/>
  <c r="C22" i="2"/>
  <c r="C23" i="2"/>
  <c r="C24" i="2"/>
  <c r="C25" i="2"/>
  <c r="C26" i="2"/>
  <c r="C27" i="2"/>
  <c r="C28"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tc={5DD7F94F-AD70-4B13-842B-6BEC73C3940C}</author>
    <author>tc={06F53F8C-9360-499E-AF17-9614AF2CA7B3}</author>
  </authors>
  <commentList>
    <comment ref="I1" authorId="0" shapeId="0" xr:uid="{5DD7F94F-AD70-4B13-842B-6BEC73C3940C}">
      <text>
        <t>[Threaded comment]
Your version of Excel allows you to read this threaded comment; however, any edits to it will get removed if the file is opened in a newer version of Excel. Learn more: https://go.microsoft.com/fwlink/?linkid=870924
Comment:
    Columns F-I: Texas Tribune data 2026</t>
      </text>
    </comment>
    <comment ref="J1" authorId="1" shapeId="0" xr:uid="{06F53F8C-9360-499E-AF17-9614AF2CA7B3}">
      <text>
        <t>[Threaded comment]
Your version of Excel allows you to read this threaded comment; however, any edits to it will get removed if the file is opened in a newer version of Excel. Learn more: https://go.microsoft.com/fwlink/?linkid=870924
Comment:
    NCES</t>
      </text>
    </comment>
  </commentList>
</comments>
</file>

<file path=xl/sharedStrings.xml><?xml version="1.0" encoding="utf-8"?>
<sst xmlns="http://schemas.openxmlformats.org/spreadsheetml/2006/main" count="5791" uniqueCount="1973">
  <si>
    <t>Purpose</t>
  </si>
  <si>
    <t>The goal of this was to update state profiles for 24 districts in Texas to find common threads where they existed, e.g., strategic priorities in the district that could signal an opportunity for PCG/Emerald Ed.</t>
  </si>
  <si>
    <t>After collecting data from various sources such as Burbio, Copilot, Google News, Legiscan, etc. and arranging in categories (Funding, Strategic Priorities, etc.) the Business Development team would then independtly assign scores to each district in each category.</t>
  </si>
  <si>
    <t>Categories would be weighted to reflect impact and relevance.</t>
  </si>
  <si>
    <t xml:space="preserve">A final average of all team members scores would be taken, giving a final score to each district. </t>
  </si>
  <si>
    <t xml:space="preserve">Lastly, a Master Overview sheet will be prepared for quickly sharing the important highlights and actionable details. </t>
  </si>
  <si>
    <t>District Name</t>
  </si>
  <si>
    <t>Enrollment</t>
  </si>
  <si>
    <t>Tier</t>
  </si>
  <si>
    <t>Notes</t>
  </si>
  <si>
    <t>Aldine ISD</t>
  </si>
  <si>
    <t>Arlington ISD</t>
  </si>
  <si>
    <t>Austin ISD</t>
  </si>
  <si>
    <t>Brownsville ISD</t>
  </si>
  <si>
    <t>Conroe ISD</t>
  </si>
  <si>
    <t>Cypress-Fairbanks ISD</t>
  </si>
  <si>
    <t>Dallas ISD</t>
  </si>
  <si>
    <t>Denton ISD</t>
  </si>
  <si>
    <t>El Paso ISD</t>
  </si>
  <si>
    <t>Fort Bend ISD</t>
  </si>
  <si>
    <t>Fort Worth ISD</t>
  </si>
  <si>
    <t>Frisco ISD</t>
  </si>
  <si>
    <t>Garland ISD</t>
  </si>
  <si>
    <t>Houston ISD</t>
  </si>
  <si>
    <t>IDEA Public Schools</t>
  </si>
  <si>
    <t>Irving ISD</t>
  </si>
  <si>
    <t>Katy ISD</t>
  </si>
  <si>
    <t>Klein ISD</t>
  </si>
  <si>
    <t>Lamar Consolidated ISD</t>
  </si>
  <si>
    <t>Laredo ISD</t>
  </si>
  <si>
    <t>McAllen ISd</t>
  </si>
  <si>
    <t>North East ISD</t>
  </si>
  <si>
    <t>Northside ISD</t>
  </si>
  <si>
    <t>Pasadena ISD</t>
  </si>
  <si>
    <t>Plano ISD</t>
  </si>
  <si>
    <t>San Antonio ISD</t>
  </si>
  <si>
    <t>Socorro ISD</t>
  </si>
  <si>
    <t>Number of Schools</t>
  </si>
  <si>
    <t>Grade Span Served</t>
  </si>
  <si>
    <t>Urban/Suburban/Rural</t>
  </si>
  <si>
    <t>% Economically Disadvantaged</t>
  </si>
  <si>
    <t>% English Learner</t>
  </si>
  <si>
    <t>% Special Education</t>
  </si>
  <si>
    <t>Major Student Groups</t>
  </si>
  <si>
    <t>Student Growth Trend</t>
  </si>
  <si>
    <t>Website</t>
  </si>
  <si>
    <t>Strategic Plan Link</t>
  </si>
  <si>
    <t>PK-12</t>
  </si>
  <si>
    <t>Suburban</t>
  </si>
  <si>
    <t>Hispanic - 64%</t>
  </si>
  <si>
    <t>https://www.aldineisd.org</t>
  </si>
  <si>
    <t>https://drive.google.com/file/d/1Tr58kpd15v6MwjHQMC0c_2Oi_FwKFYpC/view</t>
  </si>
  <si>
    <t>Urban</t>
  </si>
  <si>
    <t>Hispanic - 48%</t>
  </si>
  <si>
    <t>https://www.arlingtonisd.org</t>
  </si>
  <si>
    <t>Hispanic - 54%</t>
  </si>
  <si>
    <t>https://www.austinisd.org</t>
  </si>
  <si>
    <t>Hispanic - 98%</t>
  </si>
  <si>
    <t>https://www.brownsvilleisd.org</t>
  </si>
  <si>
    <t>Hispanic - 41%</t>
  </si>
  <si>
    <t>https://www.conroeisd.org</t>
  </si>
  <si>
    <t>Hispanic - 46%</t>
  </si>
  <si>
    <t>https://www.cypress-fairbanksisd.org</t>
  </si>
  <si>
    <t>Hispanic - 71%</t>
  </si>
  <si>
    <t>https://www.dallasisd.org</t>
  </si>
  <si>
    <t>Hispanic - 36%</t>
  </si>
  <si>
    <t>https://www.dentonisd.org</t>
  </si>
  <si>
    <t>Hispanic - 84%</t>
  </si>
  <si>
    <t>https://www.elisd.org</t>
  </si>
  <si>
    <t>Asian - 28%</t>
  </si>
  <si>
    <t>https://www.fortisd.org</t>
  </si>
  <si>
    <t>https://www.friscoisd.org</t>
  </si>
  <si>
    <t>https://www.garlandisd.org</t>
  </si>
  <si>
    <t>https://www.houstonisd.org</t>
  </si>
  <si>
    <t>https://www.ideaisd.org</t>
  </si>
  <si>
    <t>https://www.irvingisd.org</t>
  </si>
  <si>
    <t>https://www.katyisd.org</t>
  </si>
  <si>
    <t>https://www.kleinisd.org</t>
  </si>
  <si>
    <t>https://www.lamarisd.org</t>
  </si>
  <si>
    <t>https://www.laredoisd.org</t>
  </si>
  <si>
    <t>https://www.mcallenisd.org</t>
  </si>
  <si>
    <t>https://www.northisd.org</t>
  </si>
  <si>
    <t>https://www.northsideisd.org</t>
  </si>
  <si>
    <t>https://www.pasadenaisd.org</t>
  </si>
  <si>
    <t>https://www.planoisd.org</t>
  </si>
  <si>
    <t>https://www.sanisd.org</t>
  </si>
  <si>
    <t>https://www.socorroisd.org</t>
  </si>
  <si>
    <t>Superintendent</t>
  </si>
  <si>
    <t>Email</t>
  </si>
  <si>
    <t>Superintendent Tenure</t>
  </si>
  <si>
    <t>Curriculum Lead</t>
  </si>
  <si>
    <t>CTE Lead</t>
  </si>
  <si>
    <t>Math Lead</t>
  </si>
  <si>
    <t>Publicly Stated Priorities</t>
  </si>
  <si>
    <t>Board Meeting Frequency</t>
  </si>
  <si>
    <t>Latonya Goffney</t>
  </si>
  <si>
    <t>lmgoffney@aldineisd.org</t>
  </si>
  <si>
    <t>Faviola Cantu</t>
  </si>
  <si>
    <t>fcantu@aldineisd.org</t>
  </si>
  <si>
    <t>Brooke Martin</t>
  </si>
  <si>
    <t>bdmartin@aldineisd.org</t>
  </si>
  <si>
    <t>monthly</t>
  </si>
  <si>
    <t>Strategic Plan Themes</t>
  </si>
  <si>
    <t>Math Priority Strength</t>
  </si>
  <si>
    <t>Intervention Focus Details</t>
  </si>
  <si>
    <t>Teacher Capacity Details</t>
  </si>
  <si>
    <t>MTSS Details</t>
  </si>
  <si>
    <t>Curriculum Details</t>
  </si>
  <si>
    <t>Active Grants (Yes/No)</t>
  </si>
  <si>
    <t>Grants Details</t>
  </si>
  <si>
    <t>Sources</t>
  </si>
  <si>
    <t>Asian - 45%</t>
  </si>
  <si>
    <t>Hispanic - 65%</t>
  </si>
  <si>
    <t>Hispanic - 61%</t>
  </si>
  <si>
    <t>Hispanic - 85%</t>
  </si>
  <si>
    <t>Hispanic - 77%</t>
  </si>
  <si>
    <t>Hispanic - 45%</t>
  </si>
  <si>
    <t>Hispanic - 38%</t>
  </si>
  <si>
    <t>Hispanic - 99%</t>
  </si>
  <si>
    <t>Hispanic - 93%</t>
  </si>
  <si>
    <t>Hispanic - 68%</t>
  </si>
  <si>
    <t>Hispanic - 83%</t>
  </si>
  <si>
    <t>Hispanic - 30%</t>
  </si>
  <si>
    <t>Hispanic - 90%</t>
  </si>
  <si>
    <t>Matt Smith</t>
  </si>
  <si>
    <t>msmith32@aisd.net</t>
  </si>
  <si>
    <t>Delisse Hardy</t>
  </si>
  <si>
    <t>Title</t>
  </si>
  <si>
    <t>Executive Director of Curriculum &amp; Instruction</t>
  </si>
  <si>
    <t>2 years</t>
  </si>
  <si>
    <t>Candace McGowan</t>
  </si>
  <si>
    <t>cmcgowan@aisd.net</t>
  </si>
  <si>
    <t>tlegrand@aisd.net</t>
  </si>
  <si>
    <t>K-12 Mathematics Coordinator</t>
  </si>
  <si>
    <t>Tiffany LeGrand</t>
  </si>
  <si>
    <t>dhardy1@aisd.net</t>
  </si>
  <si>
    <t>Chief Academic Officer</t>
  </si>
  <si>
    <t>Executive Director of Career &amp; Technical Education</t>
  </si>
  <si>
    <t>Executive Director of Mathematics and Science</t>
  </si>
  <si>
    <t>Tracy Mansfield</t>
  </si>
  <si>
    <t>tmansfield@aldineisd.org</t>
  </si>
  <si>
    <t>Matias Segura</t>
  </si>
  <si>
    <t>matias.segura@austinisd.org</t>
  </si>
  <si>
    <t>Assistant Superintendent Academics</t>
  </si>
  <si>
    <t>Mary Maxwell</t>
  </si>
  <si>
    <t>emailshayla.maxwell@austinisd.org</t>
  </si>
  <si>
    <t>Director, Career and Technical Education Department</t>
  </si>
  <si>
    <t>Tammy Caesar</t>
  </si>
  <si>
    <t>tammy.caesar@austinisd.org</t>
  </si>
  <si>
    <t>Krystal Frank</t>
  </si>
  <si>
    <t>Executive Director of Curriculum</t>
  </si>
  <si>
    <t>krystal.frank@austinisd.org</t>
  </si>
  <si>
    <t>Alda Benavides</t>
  </si>
  <si>
    <t>interim</t>
  </si>
  <si>
    <t>bahernandez@bisd.us</t>
  </si>
  <si>
    <t>Beatriz Hernandez</t>
  </si>
  <si>
    <t>CTE Director</t>
  </si>
  <si>
    <t>Adrian Dorsett</t>
  </si>
  <si>
    <t>adorsett@bisd.us</t>
  </si>
  <si>
    <t>Assistant Superintendent Curriculum, Instruction &amp; Accountability</t>
  </si>
  <si>
    <t>Dora Sauceda</t>
  </si>
  <si>
    <t>drdesauceda@bisd.us</t>
  </si>
  <si>
    <t>Existing Relationships</t>
  </si>
  <si>
    <t>Yes</t>
  </si>
  <si>
    <t>Implementing Bluebonnet</t>
  </si>
  <si>
    <t>LASSO 4 grant for Bluebonnet</t>
  </si>
  <si>
    <t>https://drive.google.com/file/d/1zPzmykbYYCQ8xeAXq5loMdMlg_7Afgp5/view</t>
  </si>
  <si>
    <t>https://www.aisd.net/wp-content/files/Arlington-Independent-School-District-District-Plan.pdf</t>
  </si>
  <si>
    <t>High - explicit performance targets across K-Algebra I</t>
  </si>
  <si>
    <t>Academic growth across core subjects, teacher capacity and instructional quality improvements, college career and military readiness expansion, family community engagement</t>
  </si>
  <si>
    <t xml:space="preserve">Methods: Uploaded strategic plan documents to Copilot and asked for summary based on guidelines I have created here. Searched Burbio for keyword matches in school board documents. </t>
  </si>
  <si>
    <t>Required targeted small-group interventions for students below benchmark; progress monitoring tied to NWEA growth cycle</t>
  </si>
  <si>
    <t>heavy emphasis on professional learning across all subjects especially math and literacy; focus on research based instructional strategies and content pedagogy</t>
  </si>
  <si>
    <t>Strong CCMR focus; expansion of programs tied to workforce credentials</t>
  </si>
  <si>
    <t>Yes - implicit but strong</t>
  </si>
  <si>
    <t>tier 2 student supports, progress monitoring, data driven student grouping</t>
  </si>
  <si>
    <t>District-wide curriculum management audit underway; development of 3-5 year implementation roadmap</t>
  </si>
  <si>
    <t>No</t>
  </si>
  <si>
    <t>https://www.austinisd.org/sites/default/files/dept/strategic-plan/docs/AISD_Improvement_Plan_2025-2026.pdf</t>
  </si>
  <si>
    <t>District wide culture + engagement; early literacy and foundational math/numeracy improvements (K-3); postsecondary readiness; special education compliance and improvement</t>
  </si>
  <si>
    <t>High - explicit and recurring; early learning math targets; middle school math improvement (19%-25% proficiency target); Algebra readiness tied to equity groups</t>
  </si>
  <si>
    <t>Data-driven; heavy use of NWEA MAP progress monitoring</t>
  </si>
  <si>
    <t>Formal district professional development plan; focused on teacher retention and support; instruction aligned to student outcome data</t>
  </si>
  <si>
    <t>Very strong postsecondary focus; dual credit/AP/IB participation; Industry-Based Certifications; clear numeric targets for participation and completion</t>
  </si>
  <si>
    <t>Yes - implied</t>
  </si>
  <si>
    <t>focus on subgroup performance (equity gaps); progress monitoring cycles; early intervention through assessment systems</t>
  </si>
  <si>
    <t>https://files-backend.assets.thrillshare.com/documents/asset/uploaded_file/5547/Bisd/945d33fc-854e-4dc3-9c5d-51ca48eadd41/View_the_2024-2029_Strategic_Action_Plan.pdf?disposition=inline</t>
  </si>
  <si>
    <t>district wide curriculum alignment and instructional quality; integrated student support systems; closing achievement gaps; college, career, trade, or military readiness for all; attendance, enrollment growth and family engagement; teacher recruitment, retention, and development</t>
  </si>
  <si>
    <t>Yes - not explicit</t>
  </si>
  <si>
    <t>Medium - focus on grade level profiency;emphasis on numeracy alongside literacy through core instruction</t>
  </si>
  <si>
    <t>Very strong explicit signal; creation of district-wide Tier 2 &amp; 3 curriculum; targeted support for students below grade level and students needing accelerated growth; pilot programs and scaled implementation across campuses</t>
  </si>
  <si>
    <t>Establishment of District Professional Learning Committee; building educator capacity; implementing "highly effective instruction" and teacher mentor programs</t>
  </si>
  <si>
    <t>100% of students college, career, trade, or military ready</t>
  </si>
  <si>
    <t>Yes - very explicit</t>
  </si>
  <si>
    <t>Creation of Integrated Student Support Systems; formal tier 2 and tier 3 instructional framework; includes academic intervention, SEL, and data monitoring systems</t>
  </si>
  <si>
    <t>Yes - very strong</t>
  </si>
  <si>
    <t>District-wide effort to align curriculum + assessments; update instructional materials list; emphasis on high-quality curriculum and standardized instructional practices</t>
  </si>
  <si>
    <t>Student centered culture; instructional excellence and rigorous teaching practices; strong teacher/leader development; data driven systems; postsecondary readiness; family and community engagement</t>
  </si>
  <si>
    <t>High - explicit anchor goal; all 8th graders perform math on or above grade level</t>
  </si>
  <si>
    <t>Medium focus; data driven instruction + student work analysis; addressing gaps through instructional practices; support for students with disabilities and multinlingual learners</t>
  </si>
  <si>
    <t>Very strong signals; system wide focus on observation and feedback systems; professional learning systems; instructional coaching; leadership pipelines and onboarding systems; data literacy and instructional improvement</t>
  </si>
  <si>
    <t>Strong focus on expanding access to dual credit, AP courses, and CTE; goal to prepare all students for college, career, or life pathways</t>
  </si>
  <si>
    <t>Yes - implicit</t>
  </si>
  <si>
    <t>Focus on students with disabilities, multilingual learners, and SEL systems; no formal Tier 2/Tier 3 labeling</t>
  </si>
  <si>
    <t>Strong emphasis on measurable student achievement gains (STAAR/EOC); clear targets for CCMR, graduation rates, early literacy and math profiency; operates with data-driven continous improvement cycles; uses structured "guardrails" for safety, human capital, communication, and operations</t>
  </si>
  <si>
    <t>Very strong - K-2 math profiency is a formal district goal; heavy emphasis on conceptual understanding, problem solving and discourse, and fluency + retrieval practice; uses tools like Bloom in Math and ST Math; instructional expectations include small group instruction, manipulatives, and higher order thinking</t>
  </si>
  <si>
    <t>Strong but embedded into instruction; includes small group, scaffolded curriculum, supplemental supports; targets economically disadvantaged, emergent bilingual students, and special education</t>
  </si>
  <si>
    <t>Extremely strong system; major focus on high-quality "first time instruction;" data-driven teaching systems; frequent PD cycles; instructional specialists receive multiple trainings annually; includes coaching, curriculum alignment training, and content-specific PD (especially math and literacy)</t>
  </si>
  <si>
    <t>Very strong CCR systems; focus on AP and dual credit expansion, industry certifications (CTE), and College Academy participation; uses data to identify students not meeting CCR indicators, targeted interventions</t>
  </si>
  <si>
    <t>Fully built system that includes PBIS (behavior systems) and RTI (academic supports), mental health and attendance interventions; strong compliance frameworks</t>
  </si>
  <si>
    <t>No adoption but continuous reviews for TEKS alignment; math contains fluency systems, spiral reviews, and structured practice</t>
  </si>
  <si>
    <t>Active use of Title I</t>
  </si>
  <si>
    <t>very strong fit if positioned as teacher support, instructional enhancement, and embedded intervention</t>
  </si>
  <si>
    <t>Score (James)</t>
  </si>
  <si>
    <t>Score (Chy)</t>
  </si>
  <si>
    <t>Score (Renee)</t>
  </si>
  <si>
    <t>Score (Jen)</t>
  </si>
  <si>
    <t>Score (Irene)</t>
  </si>
  <si>
    <t>Relationship Score (Auto)</t>
  </si>
  <si>
    <t>Strategic Weighted Score</t>
  </si>
  <si>
    <t>Elementary Math Coordinator (PK-6)</t>
  </si>
  <si>
    <t>Brittany Koester</t>
  </si>
  <si>
    <t>bkoester@conroeisd.net</t>
  </si>
  <si>
    <t>Director of Career and Technical Education</t>
  </si>
  <si>
    <t>tstout@conroeisd.net</t>
  </si>
  <si>
    <t>Tally Stout</t>
  </si>
  <si>
    <t>David Vinson</t>
  </si>
  <si>
    <t>dvinson@conroeisd.net</t>
  </si>
  <si>
    <t>Director Curriculum, Instruction and Professional Learning</t>
  </si>
  <si>
    <t>dcarlisle@conroeisd.net</t>
  </si>
  <si>
    <t>Dayren Carlisle</t>
  </si>
  <si>
    <t>new (7/1/26)</t>
  </si>
  <si>
    <t>Douglas Killian</t>
  </si>
  <si>
    <t>Chief Academic Officer / Associate Superintendent</t>
  </si>
  <si>
    <t>Tonya Goree</t>
  </si>
  <si>
    <t>tonya.goree@cfisd.net</t>
  </si>
  <si>
    <t>CTE Director, Compliance &amp; Grants, AgScience, CFISD Livestock Show &amp; AFJROTC</t>
  </si>
  <si>
    <t>mark.williams@cfisd.net</t>
  </si>
  <si>
    <t>Mark Williams</t>
  </si>
  <si>
    <t>Elementary Math Coordinator</t>
  </si>
  <si>
    <t>Laura Adams</t>
  </si>
  <si>
    <t>laura.adams@cfisd.net</t>
  </si>
  <si>
    <t>douglas.killian@cfisd.net</t>
  </si>
  <si>
    <t>agaylord@dallasisd.org</t>
  </si>
  <si>
    <t>Angie Gaylord</t>
  </si>
  <si>
    <t>Deputy Chief College Readiness</t>
  </si>
  <si>
    <t>Cheryl Nevels</t>
  </si>
  <si>
    <t>cnevels@dallasisd.org</t>
  </si>
  <si>
    <t>Mathematics Coordinator</t>
  </si>
  <si>
    <t>keiwilkerson@dallasisd.org</t>
  </si>
  <si>
    <t>Keisha Wilkerson</t>
  </si>
  <si>
    <t>Stephanie Elizalde, Ed.D.</t>
  </si>
  <si>
    <t>4 years</t>
  </si>
  <si>
    <t>selizalde@dallasisd.org</t>
  </si>
  <si>
    <t>Susannah Holbert O'Bara</t>
  </si>
  <si>
    <t>cruge@dentonisd.org</t>
  </si>
  <si>
    <t>Carla Ruge-Fritz</t>
  </si>
  <si>
    <t>jhood@dentonisd.org</t>
  </si>
  <si>
    <t>Jennifer Davis</t>
  </si>
  <si>
    <t>Executive Director for Elementary Teaching &amp; Learning</t>
  </si>
  <si>
    <t>sbrown@dentonisd.org</t>
  </si>
  <si>
    <t>Sandy Brown</t>
  </si>
  <si>
    <t>sobara@dentonisd.org</t>
  </si>
  <si>
    <t>https://resources.finalsite.net/images/v1767901112/dallasisdorg/dallasisdorg/bkrlx3afxteovjoigu3b/districtimprovementplan.pdf</t>
  </si>
  <si>
    <t>Student achievement and outcome based goal system; CCMR, early learning, HQIM implementation; strategic compensation and teacher effectiveness; mental health and student support systems; school choice and enrollment strategy; data-driven planning and resource alignment</t>
  </si>
  <si>
    <t>High priority - explicit inclusion of early numeracy as a core strategic priority; dedicated literacy and math acceleration specialists embedded in strategy; math improvement tied to Tier I instruction, targeted intervention, and progress monitoring cycles</t>
  </si>
  <si>
    <t>Targeted instruction identified as a core system strategy; structured targeted progress monitoring cycles; additional support structures for struggling students; integration of digital learning resources and Tier I and supplemental supports</t>
  </si>
  <si>
    <t>Professional development is a core implementation layer; strategic compensation system tied to teacher performance and retention; training aligned to HQIM and Tier I instruction expectations</t>
  </si>
  <si>
    <t>Major initiative area; includes college prep supports, aligned programs of study, and Gen-Tech degree pathways; focus on postsecondary readiness navigation and real-world readiness</t>
  </si>
  <si>
    <t>Tier I instruction framework clearly defined; targeted instruction for below-grade-level students; continuous progress monitoring systems</t>
  </si>
  <si>
    <t>Major district investment in HQIM ($23.5M in rollout); has already adopted Eureka Math TEKS Edition; focused on building teacher capacity currently; heavy emphasis on preparing to teach HQIM units effectively; system-wide alignment of materials and instruction</t>
  </si>
  <si>
    <t>Explicit alignment of local and federal funding streams to district goals; likely Title I and related federal program usage</t>
  </si>
  <si>
    <t>Student achievement accountability (STAAR/EOC performance driven goals); tiered student support system based on socioeconomic status and campus performance; PLC-driven instruction; data-driven instruction through common assessments and progress monitoring; teacher capacity and professional learning systems; CCMR improvement; family engagement and community partnership; fiscal stewardship and resource alignment</t>
  </si>
  <si>
    <t>Extremely strong - math performance targets across all grade levels (3-Algebra I); targets differentiated by SES tiers; direct alignment to STAAR/EOC performance and campus accountability ratings; very quantitatively defined math priorities</t>
  </si>
  <si>
    <t>Medium strength signals - Tiered system used to differentiate support across campuses and student groups; heavy reliance on common assessments and formative assessment; intervention embedded into core instruction not standalone tutoring; strong interventino system but teacher executed not program driven</t>
  </si>
  <si>
    <t>Very strong signal - Core dependency: Professional Learning Communities (PLCs); teachers expected to indentify essential standards, plan instruction collaboratively, respond to student performance data; district provides ongoing PD focused on Tier 1 instruction, differentiated intervention, and assessment usage</t>
  </si>
  <si>
    <t>Medium signal - goal to increase CCMR from 77.4% to 80%; strategies including early exposure to pathways, college/career planning supports for students and families, and district level CCMR monitoring committees; focus on certifications, postsecondary readiness, and student pathway awareness</t>
  </si>
  <si>
    <t>Yes - explicit</t>
  </si>
  <si>
    <t>Strong emphasis - formal tiered system based on SES + campus performance; differentiated expectations by campus, drive-driven grouping and supports, and intervention tied to assessment cycles</t>
  </si>
  <si>
    <t>Just adopted a new curriculum (possibly HMH or i-Ready) for K-12 math and elementary ELA in February 2026; adoption followed State IMRA (Instructional Materials Review and Approval) process; heavy teacher involvement ~90%; implementation includes vendor training. Summer onboarding; and campus-level planning cycles; explicity said they are NOT adopting Bluebonnet; teachers need help implementing curriculum; huge opportunity for teacher-facing tools and structured math practice/intervention. Currently use STEMscopes Math as a digital supplement</t>
  </si>
  <si>
    <t xml:space="preserve">Math Improvement Mentioned </t>
  </si>
  <si>
    <t xml:space="preserve">Teacher Capacity/PD Focus </t>
  </si>
  <si>
    <t>Intervention Focus</t>
  </si>
  <si>
    <t xml:space="preserve">Career Readiness Mentioned </t>
  </si>
  <si>
    <t>MTSS/Tiered Support Mentioned</t>
  </si>
  <si>
    <t xml:space="preserve">Curriculum Review/Adoption Activity </t>
  </si>
  <si>
    <t>Career Readiness Details</t>
  </si>
  <si>
    <t>District Size Score (20%)</t>
  </si>
  <si>
    <t>Math Fit Score (15%)</t>
  </si>
  <si>
    <t>Intervention Fit Score (10%)</t>
  </si>
  <si>
    <t>CSI/TSI Score (10%)</t>
  </si>
  <si>
    <t>Teacher Score (10%)</t>
  </si>
  <si>
    <t>Existing Contracts in Region (Yes/No)</t>
  </si>
  <si>
    <t>Existing Contracts Score</t>
  </si>
  <si>
    <t>Whole child development; academic achievement growth across STAAR; strong MTSS + intervention system expansion; CCMR pathways; emergent bilingual and SPED equity and access; extended learning; curriculum fidelity and HQIM implementation; talent development, retention, and district sustainability</t>
  </si>
  <si>
    <t>High - STAAR math "Meets" target explicty mentioned (increasing from 38% to 40%); NWEA MAP growth targets established across grade levels; tiered academic supports (Tier 1,2,3) embedded in district strategy; master schedule adjustments (double-block.intervention time)</t>
  </si>
  <si>
    <t>SPED/ELL Improvement Mentioned</t>
  </si>
  <si>
    <t>SPED/ELL Details</t>
  </si>
  <si>
    <t>District-wide MTSS implementation target (75% campus adoption); Tier 1, 2, 3 instructional supports across all levels; Large investment in math and reading interventionists; extended learning systems; credit recovery and support for at-risk students; transportation funding to remove barriers to tutoring access</t>
  </si>
  <si>
    <t>Very strong signal - Major investment in professional development across curriculum implementation, PBIS/SEL systems, and instructional practices and coaching; teacher cadre model for curriculum development; continuous coaching + trend walk monitoring; leadership capacity development (principal coaching, pipeline programs)</t>
  </si>
  <si>
    <t>Medium priority - Integrated support for SPED and EB/ELL students; targeted instructional strategies embedded into core instruciton and intervention systems; emphasis on closing achievement gaps across subpopulations and differentiated instruction at Tier 1 and small-group levels; strong compliance systems for dyslexia services and SPED program structures</t>
  </si>
  <si>
    <t>Medium priority - Heavy focus on equitable access to grade-level instruction via HQIM; SPED and ELL addressed through HQIM, tiered instructional supports, and targeted instruciton and progress monitoring; curriculum designed to support diverse learners and provide scaffolds for differentiated pathways; strong inclusiong emphasis on ensuring all students access core Tier 1 instruction.</t>
  </si>
  <si>
    <t>Medium priority - subgroup performance monitoring through data-driven instruction cycles and intervention systems; focus on closing achievement gaps and aligning supports to STAAR and NWEA growth; ELL supported through academic intervention; SPED addressed via tiered support systems (academic + behavioral)</t>
  </si>
  <si>
    <t>High priority - Embedded within tiered support model; data-driven approach; subgroup outcomes directly tied to STAAR targets; ELL has TELPAS growth expectations; language development integrated into instruction; SPED is addressed through PLC-driven intervention and planning cycles; inconsistent curriculum implementation across campuses; clear structural support but execution inconsistency creates real opportunity at campus level</t>
  </si>
  <si>
    <t>Very high priority - Strong explicit focus on Emergent Bilingual students; TELPAS growth targets and reduction of long-term EB population; district-wide dual language and ESL program implementation; major investments in bilingual supports, literacy programs, and language acquisition systems; significant emphasis on SPED access and outcomes; increasing SPED student participation in advanced coursework and credit attainment; closing achievement gaps for EB and SPED across STAAR and growth metrics; increased access to college credit and career pathways</t>
  </si>
  <si>
    <t>High Priority - strong emphasis on equity and access for all student groups; dedicated special populations programming; focus on closing acheivement gaps through integrated student support systems; development of Tier 2 and Tier 3 curriculum aligned to student needs; federal accountability presence tied to targeted support campuses tied to subgroup performance</t>
  </si>
  <si>
    <t>CSI Schools</t>
  </si>
  <si>
    <t>TSI Schools</t>
  </si>
  <si>
    <t>Extreme priority - Major district-wide transformation effort in SPED; acting under TEA Special Education Agreed Order, required to complete 99 action items to improve SPED service; historical issues including large backlog of SPED evaluations and compliance violations tied to delayed services and reporting gaps; current actions include tripling evaluation staff from 24 to 72 to address backlog and building new data systems for SPED tracking and compliance; ELL prioritization explicitly mentioned with differentiated instruction for diverse learners</t>
  </si>
  <si>
    <t>Strong CCMR focus across multiple strategies including increasing CCMR attainment from 87% to 89%, expansion of dual credit, AP/IB, and idustry-based certifications; middle school pipeline for career exploration; investing heavily in career pathways + readiness systems</t>
  </si>
  <si>
    <t>District-wide HQIM implementation underway; strong emphasis on alignment to TEKS; Curriculum fidelity target increase 86% to 90%</t>
  </si>
  <si>
    <t>Extensive use of federal funding streams Title I, II, III, and IV</t>
  </si>
  <si>
    <t>Academic growth through enhanced learning opportunities; stronger instructional leadership and PLC practices; improved CCMR outcomes; stronger support for SPED/EB students; professional culture/accountability/communication (PAC); student engagement and behavior systems; transparent budgeting and resource alignment</t>
  </si>
  <si>
    <t>High - explicit 3rd grade STAAR math target (57% -&gt; 60%); HB3 math goal alignment; campus support for math instruction; use of district formative assessments; targeted math mini-lessons/technology integration</t>
  </si>
  <si>
    <t>Tier 3 reading intervention at all elementary campuses; identification of students needing interventionTier 3 reading intervention at all elementary campuses; identification of students needing intervention through NWEA MAP and district assessments; targeted campus support tied to data analysis, coaching, classroom modeling, and differentiated campus plans for Emergent Bilingual students.</t>
  </si>
  <si>
    <t>Strong emphasis on professional learning for Tier 1 instruction, data-driven instruction, differentiation for SPED/EB/GT students, PLC / PLT practices, coaching, guided observations, learning walks, and campus administrator/teacher leader support across content areas.</t>
  </si>
  <si>
    <t>Major CCMR push (65.1% → 90%) through College Bridge, TSIA2 remediation, counselor support, CTE program support, industry-based certifications, technology integration in CTE, and broader career education beginning before graduation</t>
  </si>
  <si>
    <t>Very high signal - Large and growing SPED population (15.56%) and substantial EB population (20.25%); RDA data identifies subgroup strengths and gaps; concern that SPED students are often removed from rigorous curriculum access; differentiated campus plans for EB students; PD for teachers serving SPED/EB students; need for stronger inclusive practices across content areas</t>
  </si>
  <si>
    <t>Written curriculum and instructional planning aligned to TEKS, but implementation quality varies by campus; district is using lesson reviews, walkthroughs, formative assessment analysis, and curriculum material determination to improve consistency; new science curriculum / online platform training also noted.</t>
  </si>
  <si>
    <t>Plan explicitly references Title I, Part A funding for instructional coaches and parent-family engagement, plus use of federal/state accountability and special population data systems; multiple subgroup and intervention strategies appear supported by federal program funding streams</t>
  </si>
  <si>
    <t>Focus on student academic excellence, student/family engagement, employee effectiveness and retention, and operational alignment/efficiency. The plan is centered on early literacy and numeracy, accelerated growth for African American students and EB students, equitable supports for students with disabilities, postsecondary readiness, family engagements, talent pipelines, and district transformation planning</t>
  </si>
  <si>
    <t>Very high signal -  set a long-range 3rd grade STAAR math goal from 35% to 50% by 2030, with annual targets beginning at 37% in 2026, and ties progress to six-week tests, MAP Growth K–3 math, and benchmarks. The plan also emphasizes early numeracy in the early grades as a core academic priority.</t>
  </si>
  <si>
    <t>High signal because the district plans to implement a tiered data system that targets resources and instructional support for students, educators, grade levels, and schools based on specific needs. The plan also includes school reform models to close achievement gaps, differentiated curriculum and experiences, and district-wide behavior expectations to support academic growth.</t>
  </si>
  <si>
    <t>Very high signal because FWISD prioritizes lab classrooms for educators to share and learn effective instructional practices, a grow-your-own teacher and school leader pipeline, induction and mentoring, supervisor training, and use of the Teacher Incentive Allotment (TIA) to improve teacher effectiveness, retention, and compensation. The plan also includes a strategic compensation system for school leaders</t>
  </si>
  <si>
    <t>Very high signal because the district sets a CCMR outcomes bonus goal from 19% to 47% by 2030, supported by TSIA2 readiness, Industry-Based Certifications (IBCs), college applications, and explicit college/career pathway preparation. Postsecondary readiness is named as a Priority 1 focus area at all grade levels</t>
  </si>
  <si>
    <t>Very high signal because the plan explicitly prioritizes accelerated academic growth for Emergent Bilingual students and supports for students with disabilities to ensure equitable opportunities. District demographics show a large Emergent Bilingual population (41.2%) and a substantial special education population (14.3%), indicating subgroup scale is a major district reality, not a marginal issue</t>
  </si>
  <si>
    <t>High signal because FWISD plans to design and implement a Pre-K–12 District Literacy Plan, redirect and allocate funds toward a literacy-focused organizational model, differentiate curriculum and experiences, and develop a District Educational Transformation Plan to align systems and accelerate academic growth. The curriculum signal is more implementation-and-transformation oriented than a clearly named adoption cycle</t>
  </si>
  <si>
    <t>does not name specific grants or funding programs</t>
  </si>
  <si>
    <t>SPED/ELL Score (15%)</t>
  </si>
  <si>
    <t>Career Fit Score (20%)</t>
  </si>
  <si>
    <t>Overall Weighted Score (Strategic+Contract+Relationship)</t>
  </si>
  <si>
    <t>Region</t>
  </si>
  <si>
    <t>District Number</t>
  </si>
  <si>
    <t>Campus Number</t>
  </si>
  <si>
    <t>Campus Name</t>
  </si>
  <si>
    <t>Support Label</t>
  </si>
  <si>
    <t>Identification Reason</t>
  </si>
  <si>
    <t>Track Year</t>
  </si>
  <si>
    <t>Title I Status</t>
  </si>
  <si>
    <t>CSI 2018</t>
  </si>
  <si>
    <t>CSI 2019</t>
  </si>
  <si>
    <t>CSI 2021</t>
  </si>
  <si>
    <t>CSI 2022</t>
  </si>
  <si>
    <t>CSI 2023</t>
  </si>
  <si>
    <t>CSI 2024</t>
  </si>
  <si>
    <t>CSI 2025</t>
  </si>
  <si>
    <t>Fail to Exit Yr</t>
  </si>
  <si>
    <t>REGION 20: SAN ANTONIO</t>
  </si>
  <si>
    <t>015907</t>
  </si>
  <si>
    <t>SAN ANTONIO ISD</t>
  </si>
  <si>
    <t>015907045</t>
  </si>
  <si>
    <t>ROGERS COLLEGE PREP MIDDLE</t>
  </si>
  <si>
    <t>Comprehensive Progress</t>
  </si>
  <si>
    <t>CSI Low Performance</t>
  </si>
  <si>
    <t>Title I</t>
  </si>
  <si>
    <t/>
  </si>
  <si>
    <t>I</t>
  </si>
  <si>
    <t>PR</t>
  </si>
  <si>
    <t>015907050</t>
  </si>
  <si>
    <t>LONGFELLOW MIDDLE</t>
  </si>
  <si>
    <t>Comprehensive Identified</t>
  </si>
  <si>
    <t>CSI Exited ATS</t>
  </si>
  <si>
    <t>REI</t>
  </si>
  <si>
    <t>015907055</t>
  </si>
  <si>
    <t>RHODES MIDDLE</t>
  </si>
  <si>
    <t>015907057</t>
  </si>
  <si>
    <t>ROGERS MIDDLE</t>
  </si>
  <si>
    <t>015907059</t>
  </si>
  <si>
    <t>WHITTIER MIDDLE</t>
  </si>
  <si>
    <t>015907061</t>
  </si>
  <si>
    <t>TAFOLLA MIDDLE</t>
  </si>
  <si>
    <t>015907118</t>
  </si>
  <si>
    <t>DAVID CROCKETT ACADEMY</t>
  </si>
  <si>
    <t>015907132</t>
  </si>
  <si>
    <t>HERFF EL</t>
  </si>
  <si>
    <t>015907133</t>
  </si>
  <si>
    <t>RODRIGUEZ MONTESSORI EL</t>
  </si>
  <si>
    <t>015907134</t>
  </si>
  <si>
    <t>HIGHLAND HILLS EL</t>
  </si>
  <si>
    <t>015907141</t>
  </si>
  <si>
    <t>ELOISE JAPHET EL</t>
  </si>
  <si>
    <t>015907142</t>
  </si>
  <si>
    <t>M L KING ACADEMY</t>
  </si>
  <si>
    <t>015907143</t>
  </si>
  <si>
    <t>KELLY ACADEMY AT LOWELL</t>
  </si>
  <si>
    <t>015907147</t>
  </si>
  <si>
    <t>BOWDEN ACADEMY</t>
  </si>
  <si>
    <t>015907158</t>
  </si>
  <si>
    <t>PERSHING EL</t>
  </si>
  <si>
    <t>015907161</t>
  </si>
  <si>
    <t>ROGERS ACADEMY</t>
  </si>
  <si>
    <t>015907175</t>
  </si>
  <si>
    <t>WOODLAWN ACADEMY</t>
  </si>
  <si>
    <t>015907176</t>
  </si>
  <si>
    <t>WOODLAWN HILLS EL</t>
  </si>
  <si>
    <t>015907182</t>
  </si>
  <si>
    <t>HEALY-MURPHY</t>
  </si>
  <si>
    <t>Comprehensive Reidentified</t>
  </si>
  <si>
    <t>CSI Low Graduation Rate</t>
  </si>
  <si>
    <t>015910</t>
  </si>
  <si>
    <t>NORTH EAST ISD</t>
  </si>
  <si>
    <t>015910045</t>
  </si>
  <si>
    <t>JACKSON MIDDLE</t>
  </si>
  <si>
    <t>015910104</t>
  </si>
  <si>
    <t>DELLVIEW EL</t>
  </si>
  <si>
    <t>015910121</t>
  </si>
  <si>
    <t>EL DORADO EL</t>
  </si>
  <si>
    <t>015915</t>
  </si>
  <si>
    <t>NORTHSIDE ISD</t>
  </si>
  <si>
    <t>015915001</t>
  </si>
  <si>
    <t>HOLMES H S</t>
  </si>
  <si>
    <t>015915002</t>
  </si>
  <si>
    <t>JAY H S</t>
  </si>
  <si>
    <t>015915041</t>
  </si>
  <si>
    <t>NEFF MIDDLE</t>
  </si>
  <si>
    <t>015915111</t>
  </si>
  <si>
    <t>GLASS EL</t>
  </si>
  <si>
    <t>015915122</t>
  </si>
  <si>
    <t>PASSMORE EL</t>
  </si>
  <si>
    <t>015915131</t>
  </si>
  <si>
    <t>LINTON EL</t>
  </si>
  <si>
    <t>015915138</t>
  </si>
  <si>
    <t>KNOWLTON EL</t>
  </si>
  <si>
    <t>015915189</t>
  </si>
  <si>
    <t>MARTIN EL</t>
  </si>
  <si>
    <t>REGION 10: RICHARDSON</t>
  </si>
  <si>
    <t>043910</t>
  </si>
  <si>
    <t>PLANO ISD</t>
  </si>
  <si>
    <t>043910112</t>
  </si>
  <si>
    <t>CHRISTIE EL</t>
  </si>
  <si>
    <t>043910127</t>
  </si>
  <si>
    <t>RASOR EL</t>
  </si>
  <si>
    <t>057905</t>
  </si>
  <si>
    <t>DALLAS ISD</t>
  </si>
  <si>
    <t>057905007</t>
  </si>
  <si>
    <t>THOMAS JEFFERSON H S</t>
  </si>
  <si>
    <t>057905054</t>
  </si>
  <si>
    <t>THOMAS C MARSH MIDDLE</t>
  </si>
  <si>
    <t>057905062</t>
  </si>
  <si>
    <t>BILLY EARL DADE MIDDLE</t>
  </si>
  <si>
    <t>057905101</t>
  </si>
  <si>
    <t>JOHN Q ADAMS EL</t>
  </si>
  <si>
    <t>057905107</t>
  </si>
  <si>
    <t>JOSE 'JOE' MAY EL</t>
  </si>
  <si>
    <t>057905109</t>
  </si>
  <si>
    <t>W A BLAIR EL</t>
  </si>
  <si>
    <t>057905115</t>
  </si>
  <si>
    <t>HARRELL BUDD EL</t>
  </si>
  <si>
    <t>057905158</t>
  </si>
  <si>
    <t>LIDA HOOE EL</t>
  </si>
  <si>
    <t>057905167</t>
  </si>
  <si>
    <t>KLEBERG EL</t>
  </si>
  <si>
    <t>057905174</t>
  </si>
  <si>
    <t>GENEVA HEIGHTS EL</t>
  </si>
  <si>
    <t>057905175</t>
  </si>
  <si>
    <t>UMPHREY LEE EL</t>
  </si>
  <si>
    <t>057905178</t>
  </si>
  <si>
    <t>H I HOLLAND EL AT LISBON</t>
  </si>
  <si>
    <t>057905219</t>
  </si>
  <si>
    <t>ADELLE TURNER EL</t>
  </si>
  <si>
    <t>057905237</t>
  </si>
  <si>
    <t>JOHN W RUNYON EL</t>
  </si>
  <si>
    <t>057905264</t>
  </si>
  <si>
    <t>RONALD E MCNAIR EL</t>
  </si>
  <si>
    <t>057905271</t>
  </si>
  <si>
    <t>JULIAN T SALDIVAR EL</t>
  </si>
  <si>
    <t>057905276</t>
  </si>
  <si>
    <t>GILBERT CUELLAR SR EL</t>
  </si>
  <si>
    <t>057905286</t>
  </si>
  <si>
    <t>LEE A MCSHAN JR EL</t>
  </si>
  <si>
    <t>057905305</t>
  </si>
  <si>
    <t>EBBY HALLIDAY EL</t>
  </si>
  <si>
    <t>057909</t>
  </si>
  <si>
    <t>GARLAND ISD</t>
  </si>
  <si>
    <t>057909112</t>
  </si>
  <si>
    <t>MD WILLIAMS EL</t>
  </si>
  <si>
    <t>057912</t>
  </si>
  <si>
    <t>IRVING ISD</t>
  </si>
  <si>
    <t>057912041</t>
  </si>
  <si>
    <t>BOWIE MIDDLE</t>
  </si>
  <si>
    <t>057912101</t>
  </si>
  <si>
    <t>BARTON EL</t>
  </si>
  <si>
    <t>057912111</t>
  </si>
  <si>
    <t>LEE EL</t>
  </si>
  <si>
    <t>057912112</t>
  </si>
  <si>
    <t>LIVELY EL</t>
  </si>
  <si>
    <t>057912114</t>
  </si>
  <si>
    <t>SCHULZE EL</t>
  </si>
  <si>
    <t>057912122</t>
  </si>
  <si>
    <t>GILBERT F M EL</t>
  </si>
  <si>
    <t>REGION 11: FORT WORTH</t>
  </si>
  <si>
    <t>061901</t>
  </si>
  <si>
    <t>DENTON ISD</t>
  </si>
  <si>
    <t>061901108</t>
  </si>
  <si>
    <t>RIVERA EL</t>
  </si>
  <si>
    <t>REGION 19: EL PASO</t>
  </si>
  <si>
    <t>071902</t>
  </si>
  <si>
    <t>EL PASO ISD</t>
  </si>
  <si>
    <t>071902020</t>
  </si>
  <si>
    <t>COLLEGE CAREER TECHNOLOGY ACADEMY (CCTA)</t>
  </si>
  <si>
    <t>071902044</t>
  </si>
  <si>
    <t>GUILLEN MIDDLE</t>
  </si>
  <si>
    <t>071902059</t>
  </si>
  <si>
    <t>BOBBY JOE HILL PK-8</t>
  </si>
  <si>
    <t>071902111</t>
  </si>
  <si>
    <t>COOLEY EL</t>
  </si>
  <si>
    <t>071902118</t>
  </si>
  <si>
    <t>HART EL</t>
  </si>
  <si>
    <t>071902143</t>
  </si>
  <si>
    <t>TRAVIS EL</t>
  </si>
  <si>
    <t>071902170</t>
  </si>
  <si>
    <t>DR JOSEFINA VILLAMIL TINAJERO PK-8</t>
  </si>
  <si>
    <t>071902172</t>
  </si>
  <si>
    <t>CHARLES Q MURPHREE PK-8</t>
  </si>
  <si>
    <t>071909</t>
  </si>
  <si>
    <t>SOCORRO ISD</t>
  </si>
  <si>
    <t>071909041</t>
  </si>
  <si>
    <t>SOCORRO MIDDLE</t>
  </si>
  <si>
    <t>071909117</t>
  </si>
  <si>
    <t>ERNESTO SERNA FINE ARTS ACADEMY</t>
  </si>
  <si>
    <t>REGION 04: HOUSTON</t>
  </si>
  <si>
    <t>079907</t>
  </si>
  <si>
    <t>FORT BEND ISD</t>
  </si>
  <si>
    <t>079907002</t>
  </si>
  <si>
    <t>WILLOWRIDGE H S</t>
  </si>
  <si>
    <t>079907163</t>
  </si>
  <si>
    <t>BLUE RIDGE BRIARGATE EL</t>
  </si>
  <si>
    <t>101902</t>
  </si>
  <si>
    <t>ALDINE ISD</t>
  </si>
  <si>
    <t>101902012</t>
  </si>
  <si>
    <t>DAVIS H S ALDINE</t>
  </si>
  <si>
    <t>101902013</t>
  </si>
  <si>
    <t>HALL SUCCESS ACADEMY</t>
  </si>
  <si>
    <t>101902051</t>
  </si>
  <si>
    <t>PLUMMER MIDDLE</t>
  </si>
  <si>
    <t>101902052</t>
  </si>
  <si>
    <t>LEWIS MIDDLE</t>
  </si>
  <si>
    <t>101902105</t>
  </si>
  <si>
    <t>FRANCIS EL</t>
  </si>
  <si>
    <t>101902129</t>
  </si>
  <si>
    <t>HARRIS EL</t>
  </si>
  <si>
    <t>101902136</t>
  </si>
  <si>
    <t>CYPRESSWOOD EL</t>
  </si>
  <si>
    <t>101902139</t>
  </si>
  <si>
    <t>STEHLIK EL</t>
  </si>
  <si>
    <t>101902141</t>
  </si>
  <si>
    <t>CARAWAY EL</t>
  </si>
  <si>
    <t>101902146</t>
  </si>
  <si>
    <t>OGDEN EL</t>
  </si>
  <si>
    <t>101912</t>
  </si>
  <si>
    <t>HOUSTON ISD</t>
  </si>
  <si>
    <t>101912023</t>
  </si>
  <si>
    <t>SHARPSTOWN H S</t>
  </si>
  <si>
    <t>101912100</t>
  </si>
  <si>
    <t>TEXAS CONNECTIONS ACADEMY AT HOUSTON</t>
  </si>
  <si>
    <t>101912106</t>
  </si>
  <si>
    <t>ATHERTON EL</t>
  </si>
  <si>
    <t>101912225</t>
  </si>
  <si>
    <t>REYNOLDS EL</t>
  </si>
  <si>
    <t>101912324</t>
  </si>
  <si>
    <t>LIBERTY H S</t>
  </si>
  <si>
    <t>101912484</t>
  </si>
  <si>
    <t>MIDDLE COLLEGE H S AT HCC GULFTON</t>
  </si>
  <si>
    <t>REGION 01: EDINBURG</t>
  </si>
  <si>
    <t>108807</t>
  </si>
  <si>
    <t>IDEA PUBLIC SCHOOLS</t>
  </si>
  <si>
    <t>108807024</t>
  </si>
  <si>
    <t>IDEA EASTSIDE COLLEGE PREPARATORY</t>
  </si>
  <si>
    <t>108807094</t>
  </si>
  <si>
    <t>IDEA SPEARS COLLEGE PREPARATORY</t>
  </si>
  <si>
    <t>108807127</t>
  </si>
  <si>
    <t>IDEA NAJIM ACADEMY</t>
  </si>
  <si>
    <t>108807187</t>
  </si>
  <si>
    <t>IDEA ACHIEVE ACADEMY</t>
  </si>
  <si>
    <t>108807193</t>
  </si>
  <si>
    <t>IDEA HARDY ACADEMY</t>
  </si>
  <si>
    <t>108807303</t>
  </si>
  <si>
    <t>IDEA LA JOYA ACADEMY</t>
  </si>
  <si>
    <t>REGION 06: HUNTSVILLE</t>
  </si>
  <si>
    <t>170902</t>
  </si>
  <si>
    <t>CONROE ISD</t>
  </si>
  <si>
    <t>170902068</t>
  </si>
  <si>
    <t>GRANGERLAND INT</t>
  </si>
  <si>
    <t>220901</t>
  </si>
  <si>
    <t>ARLINGTON ISD</t>
  </si>
  <si>
    <t>220901002</t>
  </si>
  <si>
    <t>SAM HOUSTON H S</t>
  </si>
  <si>
    <t>220901050</t>
  </si>
  <si>
    <t>WORKMAN J H</t>
  </si>
  <si>
    <t>220901102</t>
  </si>
  <si>
    <t>BLANTON EL</t>
  </si>
  <si>
    <t>220901112</t>
  </si>
  <si>
    <t>SPEER EL</t>
  </si>
  <si>
    <t>220901123</t>
  </si>
  <si>
    <t>SHORT EL</t>
  </si>
  <si>
    <t>220901126</t>
  </si>
  <si>
    <t>FOSTER EL</t>
  </si>
  <si>
    <t>220901142</t>
  </si>
  <si>
    <t>ELLIS EL</t>
  </si>
  <si>
    <t>220901150</t>
  </si>
  <si>
    <t>CROUCH EL</t>
  </si>
  <si>
    <t>220905</t>
  </si>
  <si>
    <t>FORT WORTH ISD</t>
  </si>
  <si>
    <t>220905003</t>
  </si>
  <si>
    <t>SOUTH HILLS H S</t>
  </si>
  <si>
    <t>220905005</t>
  </si>
  <si>
    <t>DUNBAR H S</t>
  </si>
  <si>
    <t>220905021</t>
  </si>
  <si>
    <t>SUCCESS H S</t>
  </si>
  <si>
    <t>220905048</t>
  </si>
  <si>
    <t>WILLIAM JAMES MIDDLE</t>
  </si>
  <si>
    <t>220905061</t>
  </si>
  <si>
    <t>LEONARD MIDDLE</t>
  </si>
  <si>
    <t>220905104</t>
  </si>
  <si>
    <t>BOULEVARD HEIGHTS</t>
  </si>
  <si>
    <t>220905105</t>
  </si>
  <si>
    <t>WEST HANDLEY EL</t>
  </si>
  <si>
    <t>220905120</t>
  </si>
  <si>
    <t>RUFINO MENDOZA SR EL</t>
  </si>
  <si>
    <t>220905122</t>
  </si>
  <si>
    <t>DIAMOND HILL EL</t>
  </si>
  <si>
    <t>220905137</t>
  </si>
  <si>
    <t>HUBBARD EL</t>
  </si>
  <si>
    <t>220905154</t>
  </si>
  <si>
    <t>M L PHILLIPS EL</t>
  </si>
  <si>
    <t>220905161</t>
  </si>
  <si>
    <t>SAM ROSEN EL</t>
  </si>
  <si>
    <t>220905172</t>
  </si>
  <si>
    <t>W J TURNER EL</t>
  </si>
  <si>
    <t>REGION 13: AUSTIN</t>
  </si>
  <si>
    <t>227901</t>
  </si>
  <si>
    <t>AUSTIN ISD</t>
  </si>
  <si>
    <t>227901019</t>
  </si>
  <si>
    <t>EASTSIDE EARLY COLLEGE H S</t>
  </si>
  <si>
    <t>227901026</t>
  </si>
  <si>
    <t>GRADUATION PREP ACADEMY NAVARRO</t>
  </si>
  <si>
    <t>227901046</t>
  </si>
  <si>
    <t>BURNET MIDDLE</t>
  </si>
  <si>
    <t>227901051</t>
  </si>
  <si>
    <t>MARTIN MIDDLE</t>
  </si>
  <si>
    <t>227901055</t>
  </si>
  <si>
    <t>DOBIE MIDDLE</t>
  </si>
  <si>
    <t>227901063</t>
  </si>
  <si>
    <t>GENERAL MARSHALL MIDDLE</t>
  </si>
  <si>
    <t>227901102</t>
  </si>
  <si>
    <t>ANDREWS EL</t>
  </si>
  <si>
    <t>227901109</t>
  </si>
  <si>
    <t>BROWN EL</t>
  </si>
  <si>
    <t>227901116</t>
  </si>
  <si>
    <t>GOVALLE EL</t>
  </si>
  <si>
    <t>227901118</t>
  </si>
  <si>
    <t>227901126</t>
  </si>
  <si>
    <t>ORTEGA EL</t>
  </si>
  <si>
    <t>227901127</t>
  </si>
  <si>
    <t>SANCHEZ EL</t>
  </si>
  <si>
    <t>227901129</t>
  </si>
  <si>
    <t>PECAN SPRINGS EL</t>
  </si>
  <si>
    <t>227901144</t>
  </si>
  <si>
    <t>WOOTEN EL</t>
  </si>
  <si>
    <t>227901149</t>
  </si>
  <si>
    <t>BARRINGTON EL</t>
  </si>
  <si>
    <t>227901157</t>
  </si>
  <si>
    <t>WINN MONTESSORI</t>
  </si>
  <si>
    <t>227901160</t>
  </si>
  <si>
    <t>LINDER EL</t>
  </si>
  <si>
    <t>227901161</t>
  </si>
  <si>
    <t>COOK EL</t>
  </si>
  <si>
    <t>227901162</t>
  </si>
  <si>
    <t>HOUSTON EL</t>
  </si>
  <si>
    <t>227901163</t>
  </si>
  <si>
    <t>227901164</t>
  </si>
  <si>
    <t>PICKLE EL</t>
  </si>
  <si>
    <t>227901176</t>
  </si>
  <si>
    <t>GALINDO EL</t>
  </si>
  <si>
    <t>227901178</t>
  </si>
  <si>
    <t>JORDAN EL</t>
  </si>
  <si>
    <t>227901189</t>
  </si>
  <si>
    <t>OVERTON EL</t>
  </si>
  <si>
    <t>227901190</t>
  </si>
  <si>
    <t>PEREZ EL</t>
  </si>
  <si>
    <t>227901251</t>
  </si>
  <si>
    <t>ROSEDALE</t>
  </si>
  <si>
    <t>015907006</t>
  </si>
  <si>
    <t>HOUSTON H S</t>
  </si>
  <si>
    <t>TSI</t>
  </si>
  <si>
    <t>Hispanic</t>
  </si>
  <si>
    <t>015907008</t>
  </si>
  <si>
    <t>LANIER H S</t>
  </si>
  <si>
    <t>Hispanic, Economically Disadvantaged</t>
  </si>
  <si>
    <t>015907101</t>
  </si>
  <si>
    <t>ARNOLD EL</t>
  </si>
  <si>
    <t>English Learners, Special Education</t>
  </si>
  <si>
    <t>015907112</t>
  </si>
  <si>
    <t>BRISCOE EL</t>
  </si>
  <si>
    <t>Hispanic, Special Education, Continuously Enrolled</t>
  </si>
  <si>
    <t>015907117</t>
  </si>
  <si>
    <t>AGNES COTTON ACADEMY</t>
  </si>
  <si>
    <t>Special Education</t>
  </si>
  <si>
    <t>015907121</t>
  </si>
  <si>
    <t>DE ZAVALA EL</t>
  </si>
  <si>
    <t>Continuously Enrolled</t>
  </si>
  <si>
    <t>015907129</t>
  </si>
  <si>
    <t>CHARLES GRAEBNER EL</t>
  </si>
  <si>
    <t>Hispanic, Economically Disadvantaged, Continuously Enrolled</t>
  </si>
  <si>
    <t>015907137</t>
  </si>
  <si>
    <t>HIRSCH EL</t>
  </si>
  <si>
    <t>African American, Economically Disadvantaged</t>
  </si>
  <si>
    <t>015907144</t>
  </si>
  <si>
    <t>SARAH S KING EL</t>
  </si>
  <si>
    <t>Asian, Economically Disadvantaged, Continuously Enrolled</t>
  </si>
  <si>
    <t>015907148</t>
  </si>
  <si>
    <t>MADISON EL</t>
  </si>
  <si>
    <t>015907150</t>
  </si>
  <si>
    <t>MAVERICK EL</t>
  </si>
  <si>
    <t>015907157</t>
  </si>
  <si>
    <t>Hispanic, Economically Disadvantaged, English Learners, Continuously Enrolled</t>
  </si>
  <si>
    <t>015907168</t>
  </si>
  <si>
    <t>DEMOCRACY PREP AT STEWART ACADEMY</t>
  </si>
  <si>
    <t>Hispanic, Special Education</t>
  </si>
  <si>
    <t>015907179</t>
  </si>
  <si>
    <t>HAWTHORNE PK-8 ACADEMY</t>
  </si>
  <si>
    <t>015907241</t>
  </si>
  <si>
    <t>CARVAJAL EL</t>
  </si>
  <si>
    <t>Hispanic, Economically Disadvantaged, Special Education, Continuously Enrolled</t>
  </si>
  <si>
    <t>015910041</t>
  </si>
  <si>
    <t>EISENHOWER MIDDLE</t>
  </si>
  <si>
    <t>Economically Disadvantaged, English Learners</t>
  </si>
  <si>
    <t>015910043</t>
  </si>
  <si>
    <t>KRUEGER MIDDLE</t>
  </si>
  <si>
    <t>015910044</t>
  </si>
  <si>
    <t>NIMITZ MIDDLE</t>
  </si>
  <si>
    <t>Hispanic, Economically Disadvantaged, English Learners</t>
  </si>
  <si>
    <t>015910046</t>
  </si>
  <si>
    <t>WHITE MIDDLE</t>
  </si>
  <si>
    <t>015910047</t>
  </si>
  <si>
    <t>WOOD MIDDLE</t>
  </si>
  <si>
    <t>Hispanic, White, Continuously Enrolled</t>
  </si>
  <si>
    <t>015910058</t>
  </si>
  <si>
    <t>HARRIS MIDDLE</t>
  </si>
  <si>
    <t>015910102</t>
  </si>
  <si>
    <t>COKER EL</t>
  </si>
  <si>
    <t>English Learners</t>
  </si>
  <si>
    <t>015910103</t>
  </si>
  <si>
    <t>COLONIAL HILLS EL</t>
  </si>
  <si>
    <t>Hispanic, White, Economically Disadvantaged, Special Education, Continuously Enrolled</t>
  </si>
  <si>
    <t>015910105</t>
  </si>
  <si>
    <t>EAST TERRELL HILLS EL</t>
  </si>
  <si>
    <t>015910108</t>
  </si>
  <si>
    <t>LARKSPUR EL</t>
  </si>
  <si>
    <t>African American, Hispanic, English Learners, Special Education</t>
  </si>
  <si>
    <t>015910114</t>
  </si>
  <si>
    <t>WALZEM EL</t>
  </si>
  <si>
    <t>015910117</t>
  </si>
  <si>
    <t>WINDCREST EL</t>
  </si>
  <si>
    <t>White, Continuously Enrolled</t>
  </si>
  <si>
    <t>015915042</t>
  </si>
  <si>
    <t>RAYBURN MIDDLE</t>
  </si>
  <si>
    <t>Economically Disadvantaged, Continuously Enrolled</t>
  </si>
  <si>
    <t>015915046</t>
  </si>
  <si>
    <t>PEASE MIDDLE</t>
  </si>
  <si>
    <t>015915103</t>
  </si>
  <si>
    <t>GLENOAKS EL</t>
  </si>
  <si>
    <t>White</t>
  </si>
  <si>
    <t>015915107</t>
  </si>
  <si>
    <t>FISHER EL</t>
  </si>
  <si>
    <t>015915130</t>
  </si>
  <si>
    <t>MURNIN EL</t>
  </si>
  <si>
    <t>015915135</t>
  </si>
  <si>
    <t>CODY EL</t>
  </si>
  <si>
    <t>015915184</t>
  </si>
  <si>
    <t>HATCHETT EL</t>
  </si>
  <si>
    <t>Hispanic, Continuously Enrolled</t>
  </si>
  <si>
    <t>043910003</t>
  </si>
  <si>
    <t>WILLIAMS H S</t>
  </si>
  <si>
    <t>043910045</t>
  </si>
  <si>
    <t>ARMSTRONG MIDDLE</t>
  </si>
  <si>
    <t>African American, Hispanic, White, Asian, Economically Disadvantaged, English Learners</t>
  </si>
  <si>
    <t>043910052</t>
  </si>
  <si>
    <t>FRANKFORD MIDDLE</t>
  </si>
  <si>
    <t>Hispanic, English Learners, Special Education</t>
  </si>
  <si>
    <t>043910104</t>
  </si>
  <si>
    <t>SIGLER EL</t>
  </si>
  <si>
    <t>043910117</t>
  </si>
  <si>
    <t>THOMAS EL</t>
  </si>
  <si>
    <t>057905008</t>
  </si>
  <si>
    <t>JUSTIN F KIMBALL H S</t>
  </si>
  <si>
    <t>Hispanic, English Learners</t>
  </si>
  <si>
    <t>057905060</t>
  </si>
  <si>
    <t>BOUDE STOREY MIDDLE</t>
  </si>
  <si>
    <t>African American, Continuously Enrolled</t>
  </si>
  <si>
    <t>057905072</t>
  </si>
  <si>
    <t>DR FREDERICK DOUGLASS TODD SR MIDDLE</t>
  </si>
  <si>
    <t>057905129</t>
  </si>
  <si>
    <t>S S CONNER EL</t>
  </si>
  <si>
    <t>057905133</t>
  </si>
  <si>
    <t>BARBARA JORDAN EL</t>
  </si>
  <si>
    <t>057905184</t>
  </si>
  <si>
    <t>BEN MILAM EL</t>
  </si>
  <si>
    <t>057905185</t>
  </si>
  <si>
    <t>WILLIAM B MILLER EL</t>
  </si>
  <si>
    <t>057905216</t>
  </si>
  <si>
    <t>EDWARD TITCHE EL</t>
  </si>
  <si>
    <t>057905244</t>
  </si>
  <si>
    <t>SEAGOVILLE NORTH EL</t>
  </si>
  <si>
    <t>057905265</t>
  </si>
  <si>
    <t>ELADIO R MARTINEZ LEARNING CENTER</t>
  </si>
  <si>
    <t>057905277</t>
  </si>
  <si>
    <t>THOMAS TOLBERT EL</t>
  </si>
  <si>
    <t>057905283</t>
  </si>
  <si>
    <t>ESPERANZA MEDRANO EL</t>
  </si>
  <si>
    <t>057909043</t>
  </si>
  <si>
    <t>SAM HOUSTON MIDDLE</t>
  </si>
  <si>
    <t>057909046</t>
  </si>
  <si>
    <t>O'BANION MIDDLE</t>
  </si>
  <si>
    <t>057909049</t>
  </si>
  <si>
    <t>WEBB MIDDLE</t>
  </si>
  <si>
    <t>Former Special Education</t>
  </si>
  <si>
    <t>057909054</t>
  </si>
  <si>
    <t>VERNON SCHRADE MIDDLE</t>
  </si>
  <si>
    <t>African American</t>
  </si>
  <si>
    <t>057909056</t>
  </si>
  <si>
    <t>COYLE MIDDLE TECHNOLOGY CENTER FOR MATH &amp; SCIENCE</t>
  </si>
  <si>
    <t>White, Special Education</t>
  </si>
  <si>
    <t>057909057</t>
  </si>
  <si>
    <t>LYLES COLLEGIATE MIDDLE</t>
  </si>
  <si>
    <t>057909108</t>
  </si>
  <si>
    <t>DAUGHERTY EL</t>
  </si>
  <si>
    <t>057909124</t>
  </si>
  <si>
    <t>HEATHER GLEN EL</t>
  </si>
  <si>
    <t>057909126</t>
  </si>
  <si>
    <t>DAVIS EL</t>
  </si>
  <si>
    <t>Asian</t>
  </si>
  <si>
    <t>057909128</t>
  </si>
  <si>
    <t>ETHRIDGE EL</t>
  </si>
  <si>
    <t>057912005</t>
  </si>
  <si>
    <t>BARBARA CARDWELL CAREER PREPARATORY CENTER</t>
  </si>
  <si>
    <t>057912046</t>
  </si>
  <si>
    <t>HOUSTON MIDDLE</t>
  </si>
  <si>
    <t>057912050</t>
  </si>
  <si>
    <t>LADY BIRD JOHNSON MIDDLE</t>
  </si>
  <si>
    <t>057912102</t>
  </si>
  <si>
    <t>057912105</t>
  </si>
  <si>
    <t>GOOD EL</t>
  </si>
  <si>
    <t>057912107</t>
  </si>
  <si>
    <t>HALEY T EL</t>
  </si>
  <si>
    <t>057912108</t>
  </si>
  <si>
    <t>JOHNSTON EL</t>
  </si>
  <si>
    <t>African American, Hispanic, Economically Disadvantaged, Special Education</t>
  </si>
  <si>
    <t>057912120</t>
  </si>
  <si>
    <t>TOWNLEY EL</t>
  </si>
  <si>
    <t>061901107</t>
  </si>
  <si>
    <t>NEWTON RAYZOR EL</t>
  </si>
  <si>
    <t>061901110</t>
  </si>
  <si>
    <t>GINNINGS EL</t>
  </si>
  <si>
    <t>White, Economically Disadvantaged, Special Education</t>
  </si>
  <si>
    <t>061901111</t>
  </si>
  <si>
    <t>BORMAN EL</t>
  </si>
  <si>
    <t>061901119</t>
  </si>
  <si>
    <t>SAVANNAH EL</t>
  </si>
  <si>
    <t>061901123</t>
  </si>
  <si>
    <t>STEPHENS EL</t>
  </si>
  <si>
    <t>071902103</t>
  </si>
  <si>
    <t>AOY EL</t>
  </si>
  <si>
    <t>071902112</t>
  </si>
  <si>
    <t>CROCKETT EL</t>
  </si>
  <si>
    <t>071902128</t>
  </si>
  <si>
    <t>LOGAN EL</t>
  </si>
  <si>
    <t>071902141</t>
  </si>
  <si>
    <t>STANTON EL</t>
  </si>
  <si>
    <t>English Learners, Special Education, Continuously Enrolled</t>
  </si>
  <si>
    <t>071902182</t>
  </si>
  <si>
    <t>DR JOSEPH TORRES EL</t>
  </si>
  <si>
    <t>071902183</t>
  </si>
  <si>
    <t>COACH ARCHIE DURAN EL</t>
  </si>
  <si>
    <t>071909128</t>
  </si>
  <si>
    <t>CHESTER E JORDAN</t>
  </si>
  <si>
    <t>079901</t>
  </si>
  <si>
    <t>LAMAR CISD</t>
  </si>
  <si>
    <t>079901041</t>
  </si>
  <si>
    <t>LAMAR JH</t>
  </si>
  <si>
    <t>079901116</t>
  </si>
  <si>
    <t>T L PINK EL</t>
  </si>
  <si>
    <t>079907048</t>
  </si>
  <si>
    <t>LAKE OLYMPIA MIDDLE</t>
  </si>
  <si>
    <t>African American, Asian, Special Education, Continuously Enrolled</t>
  </si>
  <si>
    <t>079907131</t>
  </si>
  <si>
    <t>EDGAR GLOVER JR EL</t>
  </si>
  <si>
    <t>079907145</t>
  </si>
  <si>
    <t>OAKLAND EL</t>
  </si>
  <si>
    <t>101902041</t>
  </si>
  <si>
    <t>ALDINE MIDDLE</t>
  </si>
  <si>
    <t>African American, Hispanic, Economically Disadvantaged, English Learners, Continuously Enrolled</t>
  </si>
  <si>
    <t>101902044</t>
  </si>
  <si>
    <t>STOVALL MIDDLE</t>
  </si>
  <si>
    <t>101902046</t>
  </si>
  <si>
    <t>HOFFMAN MIDDLE</t>
  </si>
  <si>
    <t>Hispanic, Economically Disadvantaged, English Learners, Former Special Education, Continuously Enrolled</t>
  </si>
  <si>
    <t>101902047</t>
  </si>
  <si>
    <t>SHOTWELL MIDDLE</t>
  </si>
  <si>
    <t>101902048</t>
  </si>
  <si>
    <t>GRANTHAM ACADEMY</t>
  </si>
  <si>
    <t>Hispanic, Economically Disadvantaged, English Learners, Special Education, Continuously Enrolled</t>
  </si>
  <si>
    <t>101902054</t>
  </si>
  <si>
    <t>JONES MIDDLE</t>
  </si>
  <si>
    <t>101902062</t>
  </si>
  <si>
    <t>HOUSTON ACADEMY</t>
  </si>
  <si>
    <t>101902101</t>
  </si>
  <si>
    <t>ANDERSON ACADEMY</t>
  </si>
  <si>
    <t>101902113</t>
  </si>
  <si>
    <t>RAYMOND EL</t>
  </si>
  <si>
    <t>101902114</t>
  </si>
  <si>
    <t>SMITH EL</t>
  </si>
  <si>
    <t>101902119</t>
  </si>
  <si>
    <t>101902130</t>
  </si>
  <si>
    <t>KUJAWA EL</t>
  </si>
  <si>
    <t>Special Education, Continuously Enrolled</t>
  </si>
  <si>
    <t>101902137</t>
  </si>
  <si>
    <t>ECKERT EL</t>
  </si>
  <si>
    <t>101907</t>
  </si>
  <si>
    <t>CYPRESS-FAIRBANKS ISD</t>
  </si>
  <si>
    <t>101907044</t>
  </si>
  <si>
    <t>CAMPBELL MIDDLE</t>
  </si>
  <si>
    <t>101907045</t>
  </si>
  <si>
    <t>WATKINS MIDDLE</t>
  </si>
  <si>
    <t>English Learners, Continuously Enrolled</t>
  </si>
  <si>
    <t>101907047</t>
  </si>
  <si>
    <t>COOK MIDDLE</t>
  </si>
  <si>
    <t>101907048</t>
  </si>
  <si>
    <t>TRUITT MIDDLE</t>
  </si>
  <si>
    <t>101907053</t>
  </si>
  <si>
    <t>KAHLA MIDDLE</t>
  </si>
  <si>
    <t>Two or More Races, English Learners, Continuously Enrolled</t>
  </si>
  <si>
    <t>101907109</t>
  </si>
  <si>
    <t>YEAGER EL</t>
  </si>
  <si>
    <t>101907120</t>
  </si>
  <si>
    <t>EMMOTT EL</t>
  </si>
  <si>
    <t>Economically Disadvantaged</t>
  </si>
  <si>
    <t>101907141</t>
  </si>
  <si>
    <t>TIPPS EL</t>
  </si>
  <si>
    <t>101907151</t>
  </si>
  <si>
    <t>HEMMENWAY EL</t>
  </si>
  <si>
    <t>101912048</t>
  </si>
  <si>
    <t>CLIFTON MIDDLE</t>
  </si>
  <si>
    <t>101912058</t>
  </si>
  <si>
    <t>GREGORY-LINCOLN ED CTR</t>
  </si>
  <si>
    <t>101912060</t>
  </si>
  <si>
    <t>REVERE MIDDLE</t>
  </si>
  <si>
    <t>101912123</t>
  </si>
  <si>
    <t>CODWELL EL</t>
  </si>
  <si>
    <t>101912151</t>
  </si>
  <si>
    <t>BELL EL</t>
  </si>
  <si>
    <t>101912194</t>
  </si>
  <si>
    <t>LEWIS EL</t>
  </si>
  <si>
    <t>101912219</t>
  </si>
  <si>
    <t>PINEY POINT EL</t>
  </si>
  <si>
    <t>101912227</t>
  </si>
  <si>
    <t>MCNAMARA EL</t>
  </si>
  <si>
    <t>101912257</t>
  </si>
  <si>
    <t>WHIDBY EL</t>
  </si>
  <si>
    <t>101912260</t>
  </si>
  <si>
    <t>WINDSOR VILLAGE EL</t>
  </si>
  <si>
    <t>101912262</t>
  </si>
  <si>
    <t>GRISSOM EL</t>
  </si>
  <si>
    <t>101912263</t>
  </si>
  <si>
    <t>LAW EL</t>
  </si>
  <si>
    <t>101912267</t>
  </si>
  <si>
    <t>WHITE E EL</t>
  </si>
  <si>
    <t>101912274</t>
  </si>
  <si>
    <t>ASKEW EL</t>
  </si>
  <si>
    <t>Two or More Races</t>
  </si>
  <si>
    <t>101912283</t>
  </si>
  <si>
    <t>GARCIA EL</t>
  </si>
  <si>
    <t>101912289</t>
  </si>
  <si>
    <t>MARTINEZ C EL</t>
  </si>
  <si>
    <t>101912456</t>
  </si>
  <si>
    <t>H S AHEAD ACADEMY</t>
  </si>
  <si>
    <t>101914</t>
  </si>
  <si>
    <t>KATY ISD</t>
  </si>
  <si>
    <t>101914105</t>
  </si>
  <si>
    <t>ZELMA HUTSELL EL</t>
  </si>
  <si>
    <t>101914110</t>
  </si>
  <si>
    <t>SUNDOWN EL</t>
  </si>
  <si>
    <t>101915</t>
  </si>
  <si>
    <t>KLEIN ISD</t>
  </si>
  <si>
    <t>101915042</t>
  </si>
  <si>
    <t>HILDEBRANDT INT</t>
  </si>
  <si>
    <t>101917</t>
  </si>
  <si>
    <t>PASADENA ISD</t>
  </si>
  <si>
    <t>101917047</t>
  </si>
  <si>
    <t>SOUTHMORE INT</t>
  </si>
  <si>
    <t>101917123</t>
  </si>
  <si>
    <t>STUCHBERY EL</t>
  </si>
  <si>
    <t>101917144</t>
  </si>
  <si>
    <t>KELLER MIDDLE</t>
  </si>
  <si>
    <t>170902104</t>
  </si>
  <si>
    <t>170902134</t>
  </si>
  <si>
    <t>HOPE EL</t>
  </si>
  <si>
    <t>170902135</t>
  </si>
  <si>
    <t>GORDON-REED EL</t>
  </si>
  <si>
    <t>220901041</t>
  </si>
  <si>
    <t>CARTER J H</t>
  </si>
  <si>
    <t>220901045</t>
  </si>
  <si>
    <t>BAILEY J H</t>
  </si>
  <si>
    <t>Hispanic, Two or More Races, English Learners, Special Education</t>
  </si>
  <si>
    <t>220901051</t>
  </si>
  <si>
    <t>BOLES J H</t>
  </si>
  <si>
    <t>220901052</t>
  </si>
  <si>
    <t>BARNETT J H</t>
  </si>
  <si>
    <t>220901053</t>
  </si>
  <si>
    <t>NICHOLS J H</t>
  </si>
  <si>
    <t>220901103</t>
  </si>
  <si>
    <t>CROW LEADERSHIP ACADEMY</t>
  </si>
  <si>
    <t>220901109</t>
  </si>
  <si>
    <t>RANKIN EL</t>
  </si>
  <si>
    <t>Hispanic, English Learners, Continuously Enrolled</t>
  </si>
  <si>
    <t>220901114</t>
  </si>
  <si>
    <t>THORNTON EL</t>
  </si>
  <si>
    <t>220901120</t>
  </si>
  <si>
    <t>POPE EL</t>
  </si>
  <si>
    <t>African American, Hispanic, Economically Disadvantaged, Special Education, Continuously Enrolled</t>
  </si>
  <si>
    <t>220901121</t>
  </si>
  <si>
    <t>JOHNS EL</t>
  </si>
  <si>
    <t>220901128</t>
  </si>
  <si>
    <t>KEY EL</t>
  </si>
  <si>
    <t>220901140</t>
  </si>
  <si>
    <t>STARRETT EL</t>
  </si>
  <si>
    <t>Asian, Special Education</t>
  </si>
  <si>
    <t>220901141</t>
  </si>
  <si>
    <t>BEBENSEE EL</t>
  </si>
  <si>
    <t>220901148</t>
  </si>
  <si>
    <t>WEBB EL</t>
  </si>
  <si>
    <t>220901151</t>
  </si>
  <si>
    <t>LARSON EL</t>
  </si>
  <si>
    <t>Economically Disadvantaged, Special Education, Continuously Enrolled</t>
  </si>
  <si>
    <t>220901164</t>
  </si>
  <si>
    <t>PEACH EL</t>
  </si>
  <si>
    <t>220901165</t>
  </si>
  <si>
    <t>MCNUTT EL</t>
  </si>
  <si>
    <t>220905009</t>
  </si>
  <si>
    <t>POLYTECHNIC H S</t>
  </si>
  <si>
    <t>African American, Economically Disadvantaged, English Learners</t>
  </si>
  <si>
    <t>220905042</t>
  </si>
  <si>
    <t>DAGGETT MIDDLE</t>
  </si>
  <si>
    <t>White, Economically Disadvantaged</t>
  </si>
  <si>
    <t>220905045</t>
  </si>
  <si>
    <t>FOREST OAK MIDDLE</t>
  </si>
  <si>
    <t>220905049</t>
  </si>
  <si>
    <t>KIRKPATRICK MIDDLE</t>
  </si>
  <si>
    <t>220905053</t>
  </si>
  <si>
    <t>MONNIG MIDDLE</t>
  </si>
  <si>
    <t>220905056</t>
  </si>
  <si>
    <t>RIVERSIDE MIDDLE</t>
  </si>
  <si>
    <t>220905060</t>
  </si>
  <si>
    <t>WEDGWOOD MIDDLE</t>
  </si>
  <si>
    <t>African American, Economically Disadvantaged, Continuously Enrolled</t>
  </si>
  <si>
    <t>220905062</t>
  </si>
  <si>
    <t>INT'L NEWCOMER ACAD</t>
  </si>
  <si>
    <t>220905069</t>
  </si>
  <si>
    <t>MCLEAN 6TH GRADE</t>
  </si>
  <si>
    <t>220905070</t>
  </si>
  <si>
    <t>JEAN MCCLUNG MIDDLE</t>
  </si>
  <si>
    <t>220905115</t>
  </si>
  <si>
    <t>GEORGE CLARKE EL</t>
  </si>
  <si>
    <t>220905125</t>
  </si>
  <si>
    <t>EASTERN HILLS EL</t>
  </si>
  <si>
    <t>220905126</t>
  </si>
  <si>
    <t>EAST HANDLEY EL</t>
  </si>
  <si>
    <t>220905130</t>
  </si>
  <si>
    <t>HARLEAN BEAL EL</t>
  </si>
  <si>
    <t>220905135</t>
  </si>
  <si>
    <t>VAN ZANDT-GUINN EL</t>
  </si>
  <si>
    <t>220905138</t>
  </si>
  <si>
    <t>HELBING EL</t>
  </si>
  <si>
    <t>220905147</t>
  </si>
  <si>
    <t>MORNINGSIDE EL</t>
  </si>
  <si>
    <t>220905148</t>
  </si>
  <si>
    <t>CHARLES NASH EL</t>
  </si>
  <si>
    <t>220905153</t>
  </si>
  <si>
    <t>A M PATE EL</t>
  </si>
  <si>
    <t>220905159</t>
  </si>
  <si>
    <t>VERSIA WILLIAMS EL</t>
  </si>
  <si>
    <t>220905167</t>
  </si>
  <si>
    <t>SOUTH HILLS EL</t>
  </si>
  <si>
    <t>220905168</t>
  </si>
  <si>
    <t>SPRINGDALE EL</t>
  </si>
  <si>
    <t>220905176</t>
  </si>
  <si>
    <t>WAVERLY PARK EL</t>
  </si>
  <si>
    <t>Economically Disadvantaged, Special Education</t>
  </si>
  <si>
    <t>220905178</t>
  </si>
  <si>
    <t>WESTCREEK EL</t>
  </si>
  <si>
    <t>220905180</t>
  </si>
  <si>
    <t>WESTERN HILLS EL</t>
  </si>
  <si>
    <t>Economically Disadvantaged, English Learners, Continuously Enrolled</t>
  </si>
  <si>
    <t>220905187</t>
  </si>
  <si>
    <t>J T STEVENS EL</t>
  </si>
  <si>
    <t>220905208</t>
  </si>
  <si>
    <t>T A SIMS EL</t>
  </si>
  <si>
    <t>220905216</t>
  </si>
  <si>
    <t>WOODWAY EL</t>
  </si>
  <si>
    <t>220905225</t>
  </si>
  <si>
    <t>BONNIE BRAE</t>
  </si>
  <si>
    <t>227901043</t>
  </si>
  <si>
    <t>LIVELY MIDDLE</t>
  </si>
  <si>
    <t>227901044</t>
  </si>
  <si>
    <t>KEALING MIDDLE</t>
  </si>
  <si>
    <t>227901061</t>
  </si>
  <si>
    <t>PAREDES MIDDLE</t>
  </si>
  <si>
    <t>African American, Hispanic, White, Economically Disadvantaged, English Learners, Special Education, Continuously Enrolled</t>
  </si>
  <si>
    <t>227901104</t>
  </si>
  <si>
    <t>BECKER EL</t>
  </si>
  <si>
    <t>227901105</t>
  </si>
  <si>
    <t>BLACKSHEAR EL</t>
  </si>
  <si>
    <t>227901111</t>
  </si>
  <si>
    <t>CAMPBELL EL</t>
  </si>
  <si>
    <t>227901140</t>
  </si>
  <si>
    <t>TRAVIS HTS EL</t>
  </si>
  <si>
    <t>227901143</t>
  </si>
  <si>
    <t>PATTON EL</t>
  </si>
  <si>
    <t>227901151</t>
  </si>
  <si>
    <t>PILLOW EL</t>
  </si>
  <si>
    <t>227901152</t>
  </si>
  <si>
    <t>WOOLDRIDGE EL</t>
  </si>
  <si>
    <t>227901156</t>
  </si>
  <si>
    <t>ODOM EL</t>
  </si>
  <si>
    <t>227901159</t>
  </si>
  <si>
    <t>GRAHAM EL</t>
  </si>
  <si>
    <t>227901172</t>
  </si>
  <si>
    <t>KOCUREK EL</t>
  </si>
  <si>
    <t>227901188</t>
  </si>
  <si>
    <t>PADRON EL</t>
  </si>
  <si>
    <t>031901</t>
  </si>
  <si>
    <t>BROWNSVILLE ISD</t>
  </si>
  <si>
    <t>031901044</t>
  </si>
  <si>
    <t>STELL MIDDLE</t>
  </si>
  <si>
    <t>031901101</t>
  </si>
  <si>
    <t>CANALES EL</t>
  </si>
  <si>
    <t>031901108</t>
  </si>
  <si>
    <t>PUTEGNAT EL</t>
  </si>
  <si>
    <t>CSI/TSI Score</t>
  </si>
  <si>
    <t>Normalized Scoring</t>
  </si>
  <si>
    <t>Fast-growing district; strong academic outcomes; focus on instructional consistency; data-driven instruction systems; post-secondary readiness; teacher recruitment and retention pressures</t>
  </si>
  <si>
    <t>Medium - math improvement is embedded within broader Tier 1 instruction and overall achievement goals rather than as standalone goal</t>
  </si>
  <si>
    <t>High focus - clear gaps in Tier 1 instructional consistency and explicit need for Tier 2 and Tier 3 intervention systems; emphasis on targeted support struggling, at-risk, and diverse student populations</t>
  </si>
  <si>
    <t>High signals; strong emphasis on professional development, instructional coaching, and data use; driven by rapid district growth; teacher shortages especially across SPED and bilingual</t>
  </si>
  <si>
    <t>Strong focus - CCMR expansion focus as well as dual credit/AP; clear goals tied to increasing readiness outcomes across student groups</t>
  </si>
  <si>
    <t>High priority - focus on supporting diverse learners including SPED and emergent bilingual students</t>
  </si>
  <si>
    <t>No major new curriculum adoption identified</t>
  </si>
  <si>
    <t>Multiple state and federal funding streams being used</t>
  </si>
  <si>
    <t>Tier 1: Scores ranging from 4.3 - 5.0 signaling high-alignment or strong strategic opportunity.</t>
  </si>
  <si>
    <t>Tier 2: Scores ranging from 3.6 - 4.29 signlaing moderate alignment, an opportunity requiring nurturing.</t>
  </si>
  <si>
    <t>Tier 3: Scores below 3.59 signaling low priority or limited-fit opportunities.</t>
  </si>
  <si>
    <t>Category</t>
  </si>
  <si>
    <t>Weight</t>
  </si>
  <si>
    <t>Strategic</t>
  </si>
  <si>
    <t>Relationships</t>
  </si>
  <si>
    <t>Contracts</t>
  </si>
  <si>
    <t>District Size</t>
  </si>
  <si>
    <t>Career Fit</t>
  </si>
  <si>
    <t>Math Fit</t>
  </si>
  <si>
    <t>SPED/ELL</t>
  </si>
  <si>
    <t>Intervention</t>
  </si>
  <si>
    <t>CSI/TSI</t>
  </si>
  <si>
    <t>Teacher</t>
  </si>
  <si>
    <t>Position</t>
  </si>
  <si>
    <t>First Name</t>
  </si>
  <si>
    <t>Last Name</t>
  </si>
  <si>
    <t>Phone Number</t>
  </si>
  <si>
    <t>SUPERINTENDENT</t>
  </si>
  <si>
    <t>Douglas</t>
  </si>
  <si>
    <t>Killian</t>
  </si>
  <si>
    <t>(281) 897-4077</t>
  </si>
  <si>
    <t>F.</t>
  </si>
  <si>
    <t>Miles</t>
  </si>
  <si>
    <t>Superintendent of Schools</t>
  </si>
  <si>
    <t>miles@houstonisd.org</t>
  </si>
  <si>
    <t>(713) 556-6005</t>
  </si>
  <si>
    <t>CURRICULUM DIRECTOR</t>
  </si>
  <si>
    <t>Olga</t>
  </si>
  <si>
    <t>Romero</t>
  </si>
  <si>
    <t>(972) 600-5000</t>
  </si>
  <si>
    <t>Magda</t>
  </si>
  <si>
    <t>Hernandez</t>
  </si>
  <si>
    <t>Superintendent of School</t>
  </si>
  <si>
    <t>mhernandez@irvingisd.net</t>
  </si>
  <si>
    <t>Ricardo</t>
  </si>
  <si>
    <t>López</t>
  </si>
  <si>
    <t>A701@garlandisd.net</t>
  </si>
  <si>
    <t>(972) 494-8201</t>
  </si>
  <si>
    <t>Jenny</t>
  </si>
  <si>
    <t>McGown</t>
  </si>
  <si>
    <t>superintendent@kleinisd.net</t>
  </si>
  <si>
    <t>(832) 249-4000</t>
  </si>
  <si>
    <t>Matt</t>
  </si>
  <si>
    <t>Smith</t>
  </si>
  <si>
    <t>(682) 867-4611</t>
  </si>
  <si>
    <t>LaTonya</t>
  </si>
  <si>
    <t>Goffney</t>
  </si>
  <si>
    <t>() -</t>
  </si>
  <si>
    <t>Peter</t>
  </si>
  <si>
    <t>Licata</t>
  </si>
  <si>
    <t>superintendent@fwisd.org</t>
  </si>
  <si>
    <t>(817) 814-1950</t>
  </si>
  <si>
    <t>Matias</t>
  </si>
  <si>
    <t>Segura</t>
  </si>
  <si>
    <t>David</t>
  </si>
  <si>
    <t>Vinson</t>
  </si>
  <si>
    <t>(936) 709-7701</t>
  </si>
  <si>
    <t>Jeffrey</t>
  </si>
  <si>
    <t>Cottrill</t>
  </si>
  <si>
    <t>CEO and Superintendent</t>
  </si>
  <si>
    <t>jeffrey.cottrill@ideapublicschools.org</t>
  </si>
  <si>
    <t>Ken</t>
  </si>
  <si>
    <t>Gregorski</t>
  </si>
  <si>
    <t>(281) 237-7100</t>
  </si>
  <si>
    <t>LAREDO ISD</t>
  </si>
  <si>
    <t>ESL ELL COORDINATOR</t>
  </si>
  <si>
    <t>Carmen</t>
  </si>
  <si>
    <t>Pompa</t>
  </si>
  <si>
    <t>Director of the Bilingual/ESL Department</t>
  </si>
  <si>
    <t>cpompa@laredoisd.org</t>
  </si>
  <si>
    <t>(956) 273-1000</t>
  </si>
  <si>
    <t>ASSISTANT SUPERINTENDENT</t>
  </si>
  <si>
    <t>Rogelio</t>
  </si>
  <si>
    <t>Garcia</t>
  </si>
  <si>
    <t>Assistant Superintendent for Curriculum, Instruction, and Assessment</t>
  </si>
  <si>
    <t>roggarcia@laredoisd.org</t>
  </si>
  <si>
    <t>Cassandra</t>
  </si>
  <si>
    <t>Mendoza</t>
  </si>
  <si>
    <t>Executive Director for Secondary Education</t>
  </si>
  <si>
    <t>cmendoza@laredoisd.org</t>
  </si>
  <si>
    <t>(956) 273-1745</t>
  </si>
  <si>
    <t>CTE COLLEGE CAREER READINESS DIRECTOR</t>
  </si>
  <si>
    <t>Monica</t>
  </si>
  <si>
    <t>Calles</t>
  </si>
  <si>
    <t>Executive Director for CCMR, Advanced Academics, &amp; Schools of Innovation</t>
  </si>
  <si>
    <t>mcalles@laredoisd.org</t>
  </si>
  <si>
    <t>(956) 273-1845</t>
  </si>
  <si>
    <t>MCALLEN ISD</t>
  </si>
  <si>
    <t>Leo</t>
  </si>
  <si>
    <t>Saenz</t>
  </si>
  <si>
    <t>Career Technical Education Director</t>
  </si>
  <si>
    <t>Leo.Saenz@mcallenisd.net</t>
  </si>
  <si>
    <t>(956) 632-5181</t>
  </si>
  <si>
    <t>Marta</t>
  </si>
  <si>
    <t>Carmona</t>
  </si>
  <si>
    <t>Deputy Superintendent Academics</t>
  </si>
  <si>
    <t>mccarmon@episd.org</t>
  </si>
  <si>
    <t>(915) 230-2000</t>
  </si>
  <si>
    <t>PROFESSIONAL LEARNING DIRECTOR</t>
  </si>
  <si>
    <t>Traci</t>
  </si>
  <si>
    <t>Goodwin</t>
  </si>
  <si>
    <t>Executive Director of Professional Development and Events</t>
  </si>
  <si>
    <t>tgoodwin@pasadenaisd.org</t>
  </si>
  <si>
    <t>(713) 740-5298</t>
  </si>
  <si>
    <t>MATH COORDINATOR</t>
  </si>
  <si>
    <t>Vidal</t>
  </si>
  <si>
    <t>Sr. Math Curriculum Manager</t>
  </si>
  <si>
    <t>tania.hernandez@ideapublicschools.org</t>
  </si>
  <si>
    <t>ELA LITERACY COORDINATOR</t>
  </si>
  <si>
    <t>Nancy</t>
  </si>
  <si>
    <t>Bradley</t>
  </si>
  <si>
    <t>English Language Arts/Reading - ELAR Coordinator</t>
  </si>
  <si>
    <t>(281) 396-7680</t>
  </si>
  <si>
    <t>Glenda</t>
  </si>
  <si>
    <t>Horner</t>
  </si>
  <si>
    <t>Director for Professional Learning</t>
  </si>
  <si>
    <t>Glenda.Horner@cfisd.net</t>
  </si>
  <si>
    <t>(281) 897-4069</t>
  </si>
  <si>
    <t>Aaron</t>
  </si>
  <si>
    <t>Daffern</t>
  </si>
  <si>
    <t>Mathematics Director</t>
  </si>
  <si>
    <t>(972) 925-8932</t>
  </si>
  <si>
    <t>Gina</t>
  </si>
  <si>
    <t>Anderson</t>
  </si>
  <si>
    <t>Secondary Math Coordinator</t>
  </si>
  <si>
    <t>(940) 369-0661</t>
  </si>
  <si>
    <t>Katie</t>
  </si>
  <si>
    <t>Payne</t>
  </si>
  <si>
    <t>Elementary Language Arts Coordinator</t>
  </si>
  <si>
    <t>kpayne2@dentonisd.org</t>
  </si>
  <si>
    <t>(940) 369-3740</t>
  </si>
  <si>
    <t>Carlos</t>
  </si>
  <si>
    <t>Barron</t>
  </si>
  <si>
    <t>Coordinator of Secondary Mathematics &amp; Advanced Math Initiatives</t>
  </si>
  <si>
    <t>clbarron@conroeisd.net</t>
  </si>
  <si>
    <t>(936) 709-7825</t>
  </si>
  <si>
    <t>Heather</t>
  </si>
  <si>
    <t>Gower</t>
  </si>
  <si>
    <t>Math Coordinator</t>
  </si>
  <si>
    <t>HeatherGower@Katyisd.org</t>
  </si>
  <si>
    <t>(281) 396-2071</t>
  </si>
  <si>
    <t>Nicole</t>
  </si>
  <si>
    <t>Zwahr</t>
  </si>
  <si>
    <t>Director, Professional Learning</t>
  </si>
  <si>
    <t>nicoleczwahr@Katyisd.org</t>
  </si>
  <si>
    <t>(281) 396-2117</t>
  </si>
  <si>
    <t>Lynda</t>
  </si>
  <si>
    <t>Farias</t>
  </si>
  <si>
    <t>Coordinator for Math-Secondary (COORD MATH-SEC)</t>
  </si>
  <si>
    <t>Lynda.Farias@mcallenisd.net</t>
  </si>
  <si>
    <t>(956) 618-6000</t>
  </si>
  <si>
    <t>FRISCO ISD</t>
  </si>
  <si>
    <t>Natevidad</t>
  </si>
  <si>
    <t>Casas</t>
  </si>
  <si>
    <t>Secondary Coordinator for Math</t>
  </si>
  <si>
    <t>casasn@friscoisd.org</t>
  </si>
  <si>
    <t>(469) 633-6830</t>
  </si>
  <si>
    <t>Mark</t>
  </si>
  <si>
    <t>ELA Department Coordinator/Administration</t>
  </si>
  <si>
    <t>masmith@conroeisd.net</t>
  </si>
  <si>
    <t>(936) 709-7896</t>
  </si>
  <si>
    <t>Roxanna</t>
  </si>
  <si>
    <t>Davila</t>
  </si>
  <si>
    <t>Elementary Mathematics Dean</t>
  </si>
  <si>
    <t>rdavila110@laredoisd.org</t>
  </si>
  <si>
    <t>(956) 273-1852</t>
  </si>
  <si>
    <t>Catherine</t>
  </si>
  <si>
    <t>Leach</t>
  </si>
  <si>
    <t>Coordinator, K-12 Reading Language Arts</t>
  </si>
  <si>
    <t>cleach@pasadenaisd.org</t>
  </si>
  <si>
    <t>(713) 740-0000</t>
  </si>
  <si>
    <t>Sondra</t>
  </si>
  <si>
    <t>Cano</t>
  </si>
  <si>
    <t>Coordinator, K12 Mathematics</t>
  </si>
  <si>
    <t>scano@pasadenaisd.org</t>
  </si>
  <si>
    <t>Craig</t>
  </si>
  <si>
    <t>McKinney</t>
  </si>
  <si>
    <t>Director Professional Learning</t>
  </si>
  <si>
    <t>Craig.McKinney@pisd.edu</t>
  </si>
  <si>
    <t>(469) 752-8100</t>
  </si>
  <si>
    <t>Rachel</t>
  </si>
  <si>
    <t>Beachy</t>
  </si>
  <si>
    <t>Coordinator Elementary Reading</t>
  </si>
  <si>
    <t>rachel.beachy@pisd.edu</t>
  </si>
  <si>
    <t>Ginger</t>
  </si>
  <si>
    <t>Teaff</t>
  </si>
  <si>
    <t>Coordinator Elem Math</t>
  </si>
  <si>
    <t>Nathan</t>
  </si>
  <si>
    <t>Yujiri</t>
  </si>
  <si>
    <t>Coordinator Math-Secondary</t>
  </si>
  <si>
    <t>A883@garlandisd.net</t>
  </si>
  <si>
    <t>(972) 487-3990</t>
  </si>
  <si>
    <t>Tiffany</t>
  </si>
  <si>
    <t>LeGrand</t>
  </si>
  <si>
    <t>(682) 867-7475</t>
  </si>
  <si>
    <t>Luz</t>
  </si>
  <si>
    <t>Ruiz</t>
  </si>
  <si>
    <t>luz.ruiz@fwisd.org</t>
  </si>
  <si>
    <t>(817) 814-2540</t>
  </si>
  <si>
    <t>Jaime</t>
  </si>
  <si>
    <t>Aquino</t>
  </si>
  <si>
    <t>superintendent@saisd.net</t>
  </si>
  <si>
    <t>(210) 554-2200</t>
  </si>
  <si>
    <t>Toni</t>
  </si>
  <si>
    <t>Lopez</t>
  </si>
  <si>
    <t>tlopez@pasadenaisd.org</t>
  </si>
  <si>
    <t>Theresa</t>
  </si>
  <si>
    <t>Williams</t>
  </si>
  <si>
    <t>theresa.williams@pisd.edu</t>
  </si>
  <si>
    <t>James</t>
  </si>
  <si>
    <t>Vasquez</t>
  </si>
  <si>
    <t>jvasqu02@sisd.net</t>
  </si>
  <si>
    <t>(915) 937-0000</t>
  </si>
  <si>
    <t>Roosevelt</t>
  </si>
  <si>
    <t>Nivens</t>
  </si>
  <si>
    <t>info@lcisd.org</t>
  </si>
  <si>
    <t>Guillermo</t>
  </si>
  <si>
    <t>Pro</t>
  </si>
  <si>
    <t>gpro@laredoisd.org</t>
  </si>
  <si>
    <t>Susannah</t>
  </si>
  <si>
    <t>O'Bara</t>
  </si>
  <si>
    <t>superintendent@dentonisd.org</t>
  </si>
  <si>
    <t>(940) 369-0000</t>
  </si>
  <si>
    <t>Alda</t>
  </si>
  <si>
    <t>Benavides</t>
  </si>
  <si>
    <t>Interim Superintendent</t>
  </si>
  <si>
    <t>(956) 548-8000</t>
  </si>
  <si>
    <t>René</t>
  </si>
  <si>
    <t>Gutiérrez</t>
  </si>
  <si>
    <t>Rene.Gutierrez@mcallenisd.net</t>
  </si>
  <si>
    <t>(956) 657-6027</t>
  </si>
  <si>
    <t>Brian</t>
  </si>
  <si>
    <t>Lusk</t>
  </si>
  <si>
    <t>blusk@episd.org</t>
  </si>
  <si>
    <t>Anthony</t>
  </si>
  <si>
    <t>Jarrett</t>
  </si>
  <si>
    <t>Chief Instructional Officer</t>
  </si>
  <si>
    <t>ajarre@neisd.net</t>
  </si>
  <si>
    <t>(210) 407-0541</t>
  </si>
  <si>
    <t>Adrian</t>
  </si>
  <si>
    <t>Estorga</t>
  </si>
  <si>
    <t>Secondary Math Instructional Officer</t>
  </si>
  <si>
    <t>aestor04@sisd.net</t>
  </si>
  <si>
    <t>(915) 937-0302</t>
  </si>
  <si>
    <t>Gage</t>
  </si>
  <si>
    <t>Elementary ELAR Coordinator</t>
  </si>
  <si>
    <t>theresa.gage@lcisd.org</t>
  </si>
  <si>
    <t>(832) 223-0146</t>
  </si>
  <si>
    <t>Stacy</t>
  </si>
  <si>
    <t>Love</t>
  </si>
  <si>
    <t>Secondary Eng/LA Curriculum Coach</t>
  </si>
  <si>
    <t>stacy.love@cfisd.net</t>
  </si>
  <si>
    <t>Cruz Rodriguez</t>
  </si>
  <si>
    <t>Senior EL Programs Lead</t>
  </si>
  <si>
    <t>szavalagarcia@irvingisd.net</t>
  </si>
  <si>
    <t>(972) 600-5252</t>
  </si>
  <si>
    <t>Jennifer</t>
  </si>
  <si>
    <t>Davis</t>
  </si>
  <si>
    <t>(940) 369-0900</t>
  </si>
  <si>
    <t>Ann</t>
  </si>
  <si>
    <t>Knight</t>
  </si>
  <si>
    <t>AnnKnight@katyisd.org</t>
  </si>
  <si>
    <t>(281) 396-2366</t>
  </si>
  <si>
    <t>Amanda</t>
  </si>
  <si>
    <t>Babin</t>
  </si>
  <si>
    <t>(281) 237-7060</t>
  </si>
  <si>
    <t>Noemi</t>
  </si>
  <si>
    <t>Coordinator, Professional Growth &amp; Leadership Development</t>
  </si>
  <si>
    <t>ngarcia2001@laredoisd.org</t>
  </si>
  <si>
    <t>(956) 273-1712</t>
  </si>
  <si>
    <t>Julie</t>
  </si>
  <si>
    <t>Fore</t>
  </si>
  <si>
    <t>Elementary Math Coordinator PreKindergarten</t>
  </si>
  <si>
    <t>jfore@dallasisd.org</t>
  </si>
  <si>
    <t>Karyn</t>
  </si>
  <si>
    <t>Crowe</t>
  </si>
  <si>
    <t>Coordinator Sec Math</t>
  </si>
  <si>
    <t>Karyn.Crowe@pisd.edu</t>
  </si>
  <si>
    <t>Julio</t>
  </si>
  <si>
    <t>Escajeda</t>
  </si>
  <si>
    <t>Coordinator Math Intervention</t>
  </si>
  <si>
    <t>jjescaje@episd.org</t>
  </si>
  <si>
    <t>(915) 230-2348</t>
  </si>
  <si>
    <t>Elizabeth</t>
  </si>
  <si>
    <t>Johnson</t>
  </si>
  <si>
    <t>Coordinator Math - Middle School</t>
  </si>
  <si>
    <t>EAJohnso@garlandisd.net</t>
  </si>
  <si>
    <t>Georgina</t>
  </si>
  <si>
    <t>Foroi</t>
  </si>
  <si>
    <t>Executive Director of Professional Learning and Leadership Development</t>
  </si>
  <si>
    <t>gforoi@aldineisd.org</t>
  </si>
  <si>
    <t>(281) 985-6438</t>
  </si>
  <si>
    <t>Celeste</t>
  </si>
  <si>
    <t>Ferranti</t>
  </si>
  <si>
    <t>CelesteFerranti@katyisd.org</t>
  </si>
  <si>
    <t>(281) 396-2067</t>
  </si>
  <si>
    <t>Tracy</t>
  </si>
  <si>
    <t>Barnett</t>
  </si>
  <si>
    <t>tracy.barnett@fwisd.org</t>
  </si>
  <si>
    <t>Katrena</t>
  </si>
  <si>
    <t>Booth</t>
  </si>
  <si>
    <t>Coordinator (Elementary Literacy)</t>
  </si>
  <si>
    <t>katrena.booth@fwisd.org</t>
  </si>
  <si>
    <t>(817) 814-2508</t>
  </si>
  <si>
    <t>Brittany</t>
  </si>
  <si>
    <t>Koester</t>
  </si>
  <si>
    <t>(936) 709-7752</t>
  </si>
  <si>
    <t>Jeremy</t>
  </si>
  <si>
    <t>Sapp</t>
  </si>
  <si>
    <t>Assistant Director of Professional Learning Systems</t>
  </si>
  <si>
    <t>Jeremy.Sapp@fortbendisd.gov</t>
  </si>
  <si>
    <t>(281) 634-1000</t>
  </si>
  <si>
    <t>NULL</t>
  </si>
  <si>
    <t>Assistant Director - Math Secondary</t>
  </si>
  <si>
    <t>(210) 407-0000</t>
  </si>
  <si>
    <t>Sarah</t>
  </si>
  <si>
    <t>Acosta</t>
  </si>
  <si>
    <t>ELAR Instructional Specialist - ELAR Secondary</t>
  </si>
  <si>
    <t>Doug</t>
  </si>
  <si>
    <t>Frank</t>
  </si>
  <si>
    <t>Director of Reading Language Arts</t>
  </si>
  <si>
    <t>dfrank@dallasisd.org</t>
  </si>
  <si>
    <t>(972) 925-3700</t>
  </si>
  <si>
    <t>Hernández</t>
  </si>
  <si>
    <t>email@irvingisdnet.finalsite.com</t>
  </si>
  <si>
    <t>Mike</t>
  </si>
  <si>
    <t>Waldrip</t>
  </si>
  <si>
    <t>mikewaldrip@friscoisd.org</t>
  </si>
  <si>
    <t>Karen</t>
  </si>
  <si>
    <t>Calvert Molinar</t>
  </si>
  <si>
    <t>karen.molinar@fwisd.org</t>
  </si>
  <si>
    <t>(817) 814-2000</t>
  </si>
  <si>
    <t>Mike Miles</t>
  </si>
  <si>
    <t>Lisa</t>
  </si>
  <si>
    <t>Thibodeaux</t>
  </si>
  <si>
    <t>Director of Secondary Curriculum, Instruction and Staff Development</t>
  </si>
  <si>
    <t>lthibodeaux@dentonisd.org</t>
  </si>
  <si>
    <t>Sandra</t>
  </si>
  <si>
    <t>District Leadership Development Director</t>
  </si>
  <si>
    <t>Segarcia@laredoisd.org</t>
  </si>
  <si>
    <t>Keisha</t>
  </si>
  <si>
    <t>Wilkerson</t>
  </si>
  <si>
    <t>CHIEF ACADEMIC OFFICER</t>
  </si>
  <si>
    <t>Diana</t>
  </si>
  <si>
    <t>Ely</t>
  </si>
  <si>
    <t>Executive Director of Teaching and Learning</t>
  </si>
  <si>
    <t>diana.ely@nisd.net</t>
  </si>
  <si>
    <t>(210) 397-8500</t>
  </si>
  <si>
    <t>SPECIAL EDUCATION DIRECTOR</t>
  </si>
  <si>
    <t>Shauna</t>
  </si>
  <si>
    <t>Abrego</t>
  </si>
  <si>
    <t>Director, Special Ed, Secondary, Curr &amp; Instr - SPED</t>
  </si>
  <si>
    <t>Beatriz</t>
  </si>
  <si>
    <t>OBara</t>
  </si>
  <si>
    <t>Lowanna</t>
  </si>
  <si>
    <t>Jones</t>
  </si>
  <si>
    <t>lowanna.jones@fwisd.org</t>
  </si>
  <si>
    <t>(817) 814-2548</t>
  </si>
  <si>
    <t>Fitzpatrick</t>
  </si>
  <si>
    <t>Director, Professional and Innovative Learning</t>
  </si>
  <si>
    <t>amanda.fitzpatrick@fwisd.org</t>
  </si>
  <si>
    <t>(817) 814-3403</t>
  </si>
  <si>
    <t>Sandi</t>
  </si>
  <si>
    <t>Massey</t>
  </si>
  <si>
    <t>Chief of Leadership &amp; Professional Development</t>
  </si>
  <si>
    <t>SANDI.MASSEY@houstonisd.org</t>
  </si>
  <si>
    <t>(713) 556-2990</t>
  </si>
  <si>
    <t>Kathy</t>
  </si>
  <si>
    <t>Riley</t>
  </si>
  <si>
    <t>Mathematics Coordinator (Elem.)</t>
  </si>
  <si>
    <t>Charissa</t>
  </si>
  <si>
    <t>Govan</t>
  </si>
  <si>
    <t>Executive Director of Professional &amp; Digital Learning</t>
  </si>
  <si>
    <t>chagovan@dallasisd.org</t>
  </si>
  <si>
    <t>(972) 925-8804</t>
  </si>
  <si>
    <t>Hinojosa</t>
  </si>
  <si>
    <t>Director, Professional Learning - Curriculum &amp; Instruction</t>
  </si>
  <si>
    <t>Lori</t>
  </si>
  <si>
    <t>Buhner</t>
  </si>
  <si>
    <t>(832) 223-0390</t>
  </si>
  <si>
    <t>Edgardo</t>
  </si>
  <si>
    <t>Carreon</t>
  </si>
  <si>
    <t>Secondary Math Coordinator Algebra I</t>
  </si>
  <si>
    <t>ecarreon-gonzalez@dallasisd.org</t>
  </si>
  <si>
    <t>Kenneth</t>
  </si>
  <si>
    <t>kennethgregorski@katyisd.org</t>
  </si>
  <si>
    <t>(281) 396-6000</t>
  </si>
  <si>
    <t>Jeanette</t>
  </si>
  <si>
    <t>Nino</t>
  </si>
  <si>
    <t>Associate Superintendent for Instructional Leadership</t>
  </si>
  <si>
    <t>jeanette.nino@mcallenisd.net</t>
  </si>
  <si>
    <t>(956) 618-6053</t>
  </si>
  <si>
    <t>Cynthia</t>
  </si>
  <si>
    <t>Cruz</t>
  </si>
  <si>
    <t>Bilingual/ESL Director</t>
  </si>
  <si>
    <t>ccruz@laredoisd.org</t>
  </si>
  <si>
    <t>(956) 273-1821</t>
  </si>
  <si>
    <t>Gerardo</t>
  </si>
  <si>
    <t>Associate Superintendent for Curriculum, Instruction, &amp; Assessment</t>
  </si>
  <si>
    <t>gcruz@laredoisd.org</t>
  </si>
  <si>
    <t>(956) 273-1400</t>
  </si>
  <si>
    <t>Lacey</t>
  </si>
  <si>
    <t>Rainey</t>
  </si>
  <si>
    <t>Assistant Superintendent of School Leadership &amp; Academic Programs</t>
  </si>
  <si>
    <t>lrainey@dentonisd.org</t>
  </si>
  <si>
    <t>Carla</t>
  </si>
  <si>
    <t>Ruge-Fritz</t>
  </si>
  <si>
    <t>(940) 369-0452</t>
  </si>
  <si>
    <t>Stacie</t>
  </si>
  <si>
    <t>Bonner</t>
  </si>
  <si>
    <t>Executive Director of Special Education</t>
  </si>
  <si>
    <t>abonner@dentonisd.org</t>
  </si>
  <si>
    <t>(940) 369-0480</t>
  </si>
  <si>
    <t>Melissa</t>
  </si>
  <si>
    <t>Parham</t>
  </si>
  <si>
    <t>mparha@sisd.net</t>
  </si>
  <si>
    <t>Christi</t>
  </si>
  <si>
    <t>Cottongame</t>
  </si>
  <si>
    <t>Chief Learning Officer</t>
  </si>
  <si>
    <t>(832) 223-0130</t>
  </si>
  <si>
    <t>Kayse</t>
  </si>
  <si>
    <t>Lazar</t>
  </si>
  <si>
    <t>Executive Director, CTE &amp; Career Readiness</t>
  </si>
  <si>
    <t>kayse.lazar@lcisd.org</t>
  </si>
  <si>
    <t>(832) 223-0128</t>
  </si>
  <si>
    <t>Kendra</t>
  </si>
  <si>
    <t>Doyle</t>
  </si>
  <si>
    <t>Senior Executive Director for the Curriculum, Instruction, and Assessment Department</t>
  </si>
  <si>
    <t>kendra.doyle@saisd.net</t>
  </si>
  <si>
    <t>(210) 554-2620</t>
  </si>
  <si>
    <t>Olivia</t>
  </si>
  <si>
    <t>Assistant Superintendent, Bilingual, ESL &amp; Migrant</t>
  </si>
  <si>
    <t>OHernandez2@SAISD.net</t>
  </si>
  <si>
    <t>Dorsett</t>
  </si>
  <si>
    <t>(956) 698-1137</t>
  </si>
  <si>
    <t>Olvera</t>
  </si>
  <si>
    <t>Bilingual/ESL/Title III Director</t>
  </si>
  <si>
    <t>mrolvera@bisd.us</t>
  </si>
  <si>
    <t>(956) 698-0757</t>
  </si>
  <si>
    <t>Powell</t>
  </si>
  <si>
    <t>Executive Director, Curriculum, Instruction, &amp; Innovation</t>
  </si>
  <si>
    <t>tpowell@pasadenaisd.org</t>
  </si>
  <si>
    <t>Becky</t>
  </si>
  <si>
    <t>Benner</t>
  </si>
  <si>
    <t>Executive Director, Curriculum &amp; Instruction</t>
  </si>
  <si>
    <t>rbenner@pasadenaisd.org</t>
  </si>
  <si>
    <t>(713) 740-0969</t>
  </si>
  <si>
    <t>Tanya</t>
  </si>
  <si>
    <t>Hagar</t>
  </si>
  <si>
    <t>Executive Director, Career &amp; Technical Education</t>
  </si>
  <si>
    <t>thagar@pasadenaisd.org</t>
  </si>
  <si>
    <t>(713) 740-0802</t>
  </si>
  <si>
    <t>Michelle</t>
  </si>
  <si>
    <t>LeBleu</t>
  </si>
  <si>
    <t>mlebleu@pasadenaisd.org</t>
  </si>
  <si>
    <t>(713) 740-0220</t>
  </si>
  <si>
    <t>Buechman</t>
  </si>
  <si>
    <t>Director CTE</t>
  </si>
  <si>
    <t>karen.buechman@pisd.edu</t>
  </si>
  <si>
    <t>Talle</t>
  </si>
  <si>
    <t>Gomez</t>
  </si>
  <si>
    <t>Exec Dir Multilingual Services</t>
  </si>
  <si>
    <t>talle.gomez@pisd.edu</t>
  </si>
  <si>
    <t>(469) 752-2202</t>
  </si>
  <si>
    <t>Guerra</t>
  </si>
  <si>
    <t>Assistant Superintendent of Schools</t>
  </si>
  <si>
    <t>cguerr08@sisd.net</t>
  </si>
  <si>
    <t>(915) 937-0301</t>
  </si>
  <si>
    <t>Alicia</t>
  </si>
  <si>
    <t>Bates</t>
  </si>
  <si>
    <t>Director of Secondary Curriculum and Instruction</t>
  </si>
  <si>
    <t>AliciaBates@Katyisd.org</t>
  </si>
  <si>
    <t>(281) 396-2265</t>
  </si>
  <si>
    <t>Sanée</t>
  </si>
  <si>
    <t>Bell</t>
  </si>
  <si>
    <t>Assistant Superintendent for Teaching &amp; Learning</t>
  </si>
  <si>
    <t>(281) 396-2315</t>
  </si>
  <si>
    <t>Daniel</t>
  </si>
  <si>
    <t>Gray</t>
  </si>
  <si>
    <t>Deputy Chief for College, Career, and Military Readiness</t>
  </si>
  <si>
    <t>Daniel.Gray@houstonisd.org</t>
  </si>
  <si>
    <t>(713) 556-6981</t>
  </si>
  <si>
    <t>Nalsy</t>
  </si>
  <si>
    <t>Perez</t>
  </si>
  <si>
    <t>NPEREZ@houstonisd.org</t>
  </si>
  <si>
    <t>(713) 556-3010</t>
  </si>
  <si>
    <t>Gwen</t>
  </si>
  <si>
    <t>Coffey</t>
  </si>
  <si>
    <t>Assistant Superintendent for Special Education</t>
  </si>
  <si>
    <t>gwendolynfcoffey@katyisd.org</t>
  </si>
  <si>
    <t>(281) 396-2647</t>
  </si>
  <si>
    <t>Bailey</t>
  </si>
  <si>
    <t>tybailey@aldineisd.org</t>
  </si>
  <si>
    <t>(281) 985-6053</t>
  </si>
  <si>
    <t>Aniyushka</t>
  </si>
  <si>
    <t>Martin</t>
  </si>
  <si>
    <t>Executive Director of Multilingual Services</t>
  </si>
  <si>
    <t>asmartin@aldineisd.org</t>
  </si>
  <si>
    <t>(281) 985-7370</t>
  </si>
  <si>
    <t>Sonya</t>
  </si>
  <si>
    <t>Monreal</t>
  </si>
  <si>
    <t>Executive Director, English as a Second Language (ESL) / Multilingual Programs</t>
  </si>
  <si>
    <t>SONYA.MONREAL@houstonisd.org</t>
  </si>
  <si>
    <t>(713) 556-6961</t>
  </si>
  <si>
    <t>DIRECTOR ASSESSMENT DATA</t>
  </si>
  <si>
    <t>Dawn</t>
  </si>
  <si>
    <t>Rodriguez</t>
  </si>
  <si>
    <t>Chief of Accountability, Assessment, and Analytics</t>
  </si>
  <si>
    <t>DNAyers@AldineISD.org</t>
  </si>
  <si>
    <t>(281) 985-6432</t>
  </si>
  <si>
    <t>Janis</t>
  </si>
  <si>
    <t>Jordan</t>
  </si>
  <si>
    <t>Deputy Superintendent for Curriculum and Instruction</t>
  </si>
  <si>
    <t>Carolina</t>
  </si>
  <si>
    <t>Moore</t>
  </si>
  <si>
    <t>Elementary Director, Reading and Language Arts</t>
  </si>
  <si>
    <t>carolina.moore@houstonisd.org</t>
  </si>
  <si>
    <t>(713) 556-6823</t>
  </si>
  <si>
    <t>Kristen</t>
  </si>
  <si>
    <t>Hole</t>
  </si>
  <si>
    <t>kristen.hole@houstonisd.org</t>
  </si>
  <si>
    <t>(713) 556-6024</t>
  </si>
  <si>
    <t>Brooke</t>
  </si>
  <si>
    <t>(281) 985-6646</t>
  </si>
  <si>
    <t>Faviola</t>
  </si>
  <si>
    <t>Cantú</t>
  </si>
  <si>
    <t>(281) 985-3791</t>
  </si>
  <si>
    <t>Colleen</t>
  </si>
  <si>
    <t>Stearns</t>
  </si>
  <si>
    <t>Colleen.Stearns@ideapublicschools.org</t>
  </si>
  <si>
    <t>(956) 377-8000</t>
  </si>
  <si>
    <t>Ericka</t>
  </si>
  <si>
    <t>Dillon</t>
  </si>
  <si>
    <t>Bilingual &amp; ESL Department Director</t>
  </si>
  <si>
    <t>ericka.dillon@nisd.net</t>
  </si>
  <si>
    <t>(210) 397-8173</t>
  </si>
  <si>
    <t>Calderon</t>
  </si>
  <si>
    <t>Senior Director, Bilingual/ESL Program</t>
  </si>
  <si>
    <t>(210) 407-0054</t>
  </si>
  <si>
    <t>Adam</t>
  </si>
  <si>
    <t>Stephens</t>
  </si>
  <si>
    <t>Adam.Stephens@fortbendisd.gov</t>
  </si>
  <si>
    <t>Gutierrez</t>
  </si>
  <si>
    <t>Executive Director of Elementary Curriculum and Instruction</t>
  </si>
  <si>
    <t>jguter@neisd.net</t>
  </si>
  <si>
    <t>(210) 407-0182</t>
  </si>
  <si>
    <t>Vanessa</t>
  </si>
  <si>
    <t>Kosar</t>
  </si>
  <si>
    <t>Executive Director - Special Ed</t>
  </si>
  <si>
    <t>vshowm@neisd.net</t>
  </si>
  <si>
    <t>(210) 407-0185</t>
  </si>
  <si>
    <t>Christy</t>
  </si>
  <si>
    <t>Fiori</t>
  </si>
  <si>
    <t>fioric@friscoisd.org</t>
  </si>
  <si>
    <t>(469) 633-6000</t>
  </si>
  <si>
    <t>Hubbard</t>
  </si>
  <si>
    <t>Assistant Superintendent T&amp;L</t>
  </si>
  <si>
    <t>melissa.hubbard@fortbendisd.com</t>
  </si>
  <si>
    <t>(281) 634-4300</t>
  </si>
  <si>
    <t>Morales</t>
  </si>
  <si>
    <t>English as a Second Language (ESL) Coordinator</t>
  </si>
  <si>
    <t>moralesLi@friscoisd.org</t>
  </si>
  <si>
    <t>(469) 633-6873</t>
  </si>
  <si>
    <t>Mohammed</t>
  </si>
  <si>
    <t>Choudhury</t>
  </si>
  <si>
    <t>Deputy Superintendent Curriculum and Instruction</t>
  </si>
  <si>
    <t>mohammed.choudhury@fwisd.org</t>
  </si>
  <si>
    <t>Kim</t>
  </si>
  <si>
    <t>Axtell</t>
  </si>
  <si>
    <t>Director - Mathematics</t>
  </si>
  <si>
    <t>Kim.Axtell@fwisd.org</t>
  </si>
  <si>
    <t>Sticksel</t>
  </si>
  <si>
    <t>Associate Superintendent Transformation, Innovation, and Accountability</t>
  </si>
  <si>
    <t>nancy.sticksel@fwisd.org</t>
  </si>
  <si>
    <t>(817) 814-1601</t>
  </si>
  <si>
    <t>Robert</t>
  </si>
  <si>
    <t>Wright</t>
  </si>
  <si>
    <t>robert.wright@fwisd.org</t>
  </si>
  <si>
    <t>(817) 814-1530</t>
  </si>
  <si>
    <t>Tonya</t>
  </si>
  <si>
    <t>Goree</t>
  </si>
  <si>
    <t>(281) 897-4118</t>
  </si>
  <si>
    <t>Diane</t>
  </si>
  <si>
    <t>Lopez-Martinez</t>
  </si>
  <si>
    <t>Executive Director of Professional and Innovative Learning</t>
  </si>
  <si>
    <t>diane.lopez-martinez@fwisd.org</t>
  </si>
  <si>
    <t>(817) 814-3400</t>
  </si>
  <si>
    <t>Ashley</t>
  </si>
  <si>
    <t>Clayburn</t>
  </si>
  <si>
    <t>Asst. Superintendent District Improvement &amp; Accountability</t>
  </si>
  <si>
    <t>ashley.clayburn@cfisd.net</t>
  </si>
  <si>
    <t>(281) 955-4998</t>
  </si>
  <si>
    <t>Mary</t>
  </si>
  <si>
    <t>Maxwell</t>
  </si>
  <si>
    <t>(512) 414-1700</t>
  </si>
  <si>
    <t>Janeth</t>
  </si>
  <si>
    <t>Medrano</t>
  </si>
  <si>
    <t>Coordinator for Secondary Multilingual Education</t>
  </si>
  <si>
    <t>(512) 414-4734</t>
  </si>
  <si>
    <t>Gilberto</t>
  </si>
  <si>
    <t>Lozano</t>
  </si>
  <si>
    <t>Director Bilingual &amp; ESL Programs</t>
  </si>
  <si>
    <t>glozani@conroeisd.net</t>
  </si>
  <si>
    <t>(936) 709-7839</t>
  </si>
  <si>
    <t>Hedith</t>
  </si>
  <si>
    <t>Sauceda-Upshaw</t>
  </si>
  <si>
    <t>hupshaw@conroeisd.net</t>
  </si>
  <si>
    <t>(936) 709-7822</t>
  </si>
  <si>
    <t>Wiggins</t>
  </si>
  <si>
    <t>Executive Director of Special Education/504</t>
  </si>
  <si>
    <t>kmwiggins@conroeisd.net</t>
  </si>
  <si>
    <t>(936) 709-7813</t>
  </si>
  <si>
    <t>Cheryl</t>
  </si>
  <si>
    <t>Nevels</t>
  </si>
  <si>
    <t>(972) 925-8900</t>
  </si>
  <si>
    <t>Angie</t>
  </si>
  <si>
    <t>Gaylord</t>
  </si>
  <si>
    <t>Steven</t>
  </si>
  <si>
    <t>Wurtz</t>
  </si>
  <si>
    <t>swurtz@aisd.net</t>
  </si>
  <si>
    <t>(682) 867-7300</t>
  </si>
  <si>
    <t>Buell</t>
  </si>
  <si>
    <t>Assistant Superintendent of Academic Services</t>
  </si>
  <si>
    <t>cbuell@aisd.net</t>
  </si>
  <si>
    <t>(682) 867-7734</t>
  </si>
  <si>
    <t>Kay</t>
  </si>
  <si>
    <t>Wilcots</t>
  </si>
  <si>
    <t>Executive Director Special Education Services</t>
  </si>
  <si>
    <t>kwilcots@dallasisd.org</t>
  </si>
  <si>
    <t>(972) 581-4662</t>
  </si>
  <si>
    <t>Delisse</t>
  </si>
  <si>
    <t>Hardy</t>
  </si>
  <si>
    <t>(682) 867-7455</t>
  </si>
  <si>
    <t>Clymer</t>
  </si>
  <si>
    <t>Executive Director Dual Language ESL</t>
  </si>
  <si>
    <t>bilingualesl@dallasisd.org</t>
  </si>
  <si>
    <t>(972) 925-6490</t>
  </si>
  <si>
    <t>Adalberto</t>
  </si>
  <si>
    <t>agarci2@episd.org</t>
  </si>
  <si>
    <t>(915) 230-2217</t>
  </si>
  <si>
    <t>Calzada</t>
  </si>
  <si>
    <t>Director, Leadership &amp; Talent Development</t>
  </si>
  <si>
    <t>scalzada@episd.org</t>
  </si>
  <si>
    <t>(915) 230-2344</t>
  </si>
  <si>
    <t>Guy</t>
  </si>
  <si>
    <t>Rosales</t>
  </si>
  <si>
    <t>Assistant Superintendent Teaching and Learning / Executive Director, Teaching and Learning</t>
  </si>
  <si>
    <t>gprosale@episd.org</t>
  </si>
  <si>
    <t>(915) 230-2387</t>
  </si>
  <si>
    <t>Fernando</t>
  </si>
  <si>
    <t>Marquez</t>
  </si>
  <si>
    <t>Director, Career &amp; Technical Education</t>
  </si>
  <si>
    <t>fmarque1@episd.org</t>
  </si>
  <si>
    <t>(915) 230-2241</t>
  </si>
  <si>
    <t>Maria</t>
  </si>
  <si>
    <t>Trejo</t>
  </si>
  <si>
    <t>Director, Curriculum &amp; Instruction for Special Populations</t>
  </si>
  <si>
    <t>maria.trejo@cfisd.net</t>
  </si>
  <si>
    <t>(281) 517-6387</t>
  </si>
  <si>
    <t>Casillas</t>
  </si>
  <si>
    <t>Assistant Superintendent, Elementary</t>
  </si>
  <si>
    <t>mcasill1@episd.org</t>
  </si>
  <si>
    <t>(915) 230-2216</t>
  </si>
  <si>
    <t>Janel</t>
  </si>
  <si>
    <t>Humphries</t>
  </si>
  <si>
    <t>Director, Career and Technical Education</t>
  </si>
  <si>
    <t>JHumphries@dallasisd.org</t>
  </si>
  <si>
    <t>Phillip</t>
  </si>
  <si>
    <t>Hash</t>
  </si>
  <si>
    <t>Literacy Director</t>
  </si>
  <si>
    <t>pmhash@episd.org</t>
  </si>
  <si>
    <t>(915) 230-4324</t>
  </si>
  <si>
    <t>Sloan</t>
  </si>
  <si>
    <t>Executive Director of Career and Technical Education (CTE)</t>
  </si>
  <si>
    <t>Monica.Sloan@houstonisd.org</t>
  </si>
  <si>
    <t>(713) 556-7474</t>
  </si>
  <si>
    <t>Veronica</t>
  </si>
  <si>
    <t>Mechler</t>
  </si>
  <si>
    <t>Special Education Director</t>
  </si>
  <si>
    <t>veronica.mechler@nisd.net</t>
  </si>
  <si>
    <t>(210) 397-8740</t>
  </si>
  <si>
    <t>Deborah</t>
  </si>
  <si>
    <t>Bronner-Westerduin</t>
  </si>
  <si>
    <t>(832) 249-4375</t>
  </si>
  <si>
    <t>Indelicato</t>
  </si>
  <si>
    <t>(832) 249-4241</t>
  </si>
  <si>
    <t>Alvarez-Calderon</t>
  </si>
  <si>
    <t>Senior Director - Bil/ESL Programs</t>
  </si>
  <si>
    <t>alicia.alvarez-calderon@neisd.net</t>
  </si>
  <si>
    <t>Vergara</t>
  </si>
  <si>
    <t>Director, Multilingual</t>
  </si>
  <si>
    <t>multilingual@kleinisd.net</t>
  </si>
  <si>
    <t>(832) 249-4348</t>
  </si>
  <si>
    <t>Jason</t>
  </si>
  <si>
    <t>Adams</t>
  </si>
  <si>
    <t>JMAdam2@garlandisd.net</t>
  </si>
  <si>
    <t>(972) 487-3151</t>
  </si>
  <si>
    <t>Kindsfather</t>
  </si>
  <si>
    <t>Assistant Superintendent - Teaching &amp; Learning</t>
  </si>
  <si>
    <t>(832) 249-4319</t>
  </si>
  <si>
    <t>Ravae</t>
  </si>
  <si>
    <t>Shaeffer</t>
  </si>
  <si>
    <t>Executive Director, Secondary - Curriculum &amp; Instruction</t>
  </si>
  <si>
    <t>rshaeffer@neisd.net</t>
  </si>
  <si>
    <t>Michael</t>
  </si>
  <si>
    <t>Arreola</t>
  </si>
  <si>
    <t>Director of Secondary Math and Science</t>
  </si>
  <si>
    <t>marreola@garlandisd.net</t>
  </si>
  <si>
    <t>Lindsey</t>
  </si>
  <si>
    <t>Wise</t>
  </si>
  <si>
    <t>Assistant Superintendent of Teaching and Learning</t>
  </si>
  <si>
    <t>(281) 985-6435</t>
  </si>
  <si>
    <t>Kelly</t>
  </si>
  <si>
    <t>Cutler</t>
  </si>
  <si>
    <t>Bilingual/Dual Language Coordinator</t>
  </si>
  <si>
    <t>cutlerk@friscoisd.org</t>
  </si>
  <si>
    <t>(469) 633-6841</t>
  </si>
  <si>
    <t>Kimberly</t>
  </si>
  <si>
    <t>kimberly.axtell@fwisd.org</t>
  </si>
  <si>
    <t>Franco</t>
  </si>
  <si>
    <t>Senior Vice President of Academics</t>
  </si>
  <si>
    <t>michael.franco@ideapublicschools.org</t>
  </si>
  <si>
    <t>(833) 380-1041</t>
  </si>
  <si>
    <t>Yvette</t>
  </si>
  <si>
    <t>Cardenas</t>
  </si>
  <si>
    <t>Executive Director Academics of Multilingual Ed</t>
  </si>
  <si>
    <t>yvette.cardenas@austinisd.org</t>
  </si>
  <si>
    <t>Tammy</t>
  </si>
  <si>
    <t>Caesar</t>
  </si>
  <si>
    <t>Dahria</t>
  </si>
  <si>
    <t>Driskell</t>
  </si>
  <si>
    <t>(281) 634-1143</t>
  </si>
  <si>
    <t>Marchelle</t>
  </si>
  <si>
    <t>Peters</t>
  </si>
  <si>
    <t>Assistant Superintendent for Educational Support Services</t>
  </si>
  <si>
    <t>marchelle.peters@cfisd.net</t>
  </si>
  <si>
    <t>(281) 897-6416</t>
  </si>
  <si>
    <t>(281) 897-4036</t>
  </si>
  <si>
    <t>Coleman</t>
  </si>
  <si>
    <t>Bruman</t>
  </si>
  <si>
    <t>Executive Director of Secondary Teaching &amp; Learning</t>
  </si>
  <si>
    <t>Long</t>
  </si>
  <si>
    <t>Executive Director, College &amp; Career Readiness Innovation</t>
  </si>
  <si>
    <t>jjlong@episd.org</t>
  </si>
  <si>
    <t>(915) 230-2335</t>
  </si>
  <si>
    <t>Erika</t>
  </si>
  <si>
    <t>Ramos</t>
  </si>
  <si>
    <t>Director Curriculum and Intervention</t>
  </si>
  <si>
    <t>eramos12@episd.org</t>
  </si>
  <si>
    <t>(915) 230-2677</t>
  </si>
  <si>
    <t>Kaire</t>
  </si>
  <si>
    <t>Hopson Onajobi</t>
  </si>
  <si>
    <t>KAIRE.HOPSONONAJOBI@houstonisd.org</t>
  </si>
  <si>
    <t>Katrina</t>
  </si>
  <si>
    <t>Cushenberry</t>
  </si>
  <si>
    <t>Director, Secondary Mathematics</t>
  </si>
  <si>
    <t>kcushenb@houstonisd.org</t>
  </si>
  <si>
    <t>(713) 556-7133</t>
  </si>
  <si>
    <t>Krystal</t>
  </si>
  <si>
    <t>Executive Director</t>
  </si>
  <si>
    <t>(512) 414-3023</t>
  </si>
  <si>
    <t>Castillo</t>
  </si>
  <si>
    <t>Executive Director of CCMR and Enrichment</t>
  </si>
  <si>
    <t>lisa.castillo@fwisd.org</t>
  </si>
  <si>
    <t>Steinert</t>
  </si>
  <si>
    <t>Senior Director - Career &amp; Tech Ed</t>
  </si>
  <si>
    <t>pstein@neisd.net</t>
  </si>
  <si>
    <t>(210) 407-0181</t>
  </si>
  <si>
    <t>Lilliana</t>
  </si>
  <si>
    <t>Kendrick</t>
  </si>
  <si>
    <t>Elementary Director of Humanities</t>
  </si>
  <si>
    <t>lilliana.kendrick@austinisd.org</t>
  </si>
  <si>
    <t>Charlenta</t>
  </si>
  <si>
    <t>Director, Assessment</t>
  </si>
  <si>
    <t>ChGovan@dallasisd.org</t>
  </si>
  <si>
    <t>(972) 925-6446</t>
  </si>
  <si>
    <t>Huitt-Powell</t>
  </si>
  <si>
    <t>Chief of School Leadership</t>
  </si>
  <si>
    <t>tihutt-powell@dallasisd.org</t>
  </si>
  <si>
    <t>Rice</t>
  </si>
  <si>
    <t>Coordinator for Secondary Mathematics</t>
  </si>
  <si>
    <t>rachel.rice@katyisd.org</t>
  </si>
  <si>
    <t>(281) 396-2313</t>
  </si>
  <si>
    <t>Turner</t>
  </si>
  <si>
    <t>Assistant Superintendent - Student Performance</t>
  </si>
  <si>
    <t>kturner@kleinisd.net</t>
  </si>
  <si>
    <t>(832) 249-4561</t>
  </si>
  <si>
    <t>Roshonda</t>
  </si>
  <si>
    <t>Clayton-Brown</t>
  </si>
  <si>
    <t>Assistant Superintendent</t>
  </si>
  <si>
    <t>Winston</t>
  </si>
  <si>
    <t>Chambers</t>
  </si>
  <si>
    <t>wchamber@houstonisd.org</t>
  </si>
  <si>
    <t>(713) 556-7025</t>
  </si>
  <si>
    <t>Laura</t>
  </si>
  <si>
    <t>(281) 517-6386</t>
  </si>
  <si>
    <t>Patricia</t>
  </si>
  <si>
    <t>Deputy Superintendent of Teaching and Learning</t>
  </si>
  <si>
    <t>patricia.rodriguez@austinisd.org</t>
  </si>
  <si>
    <t>Kenya</t>
  </si>
  <si>
    <t>Assistant Superintendent, Curriculum and Instruction, High School</t>
  </si>
  <si>
    <t>(281) 807-8953</t>
  </si>
  <si>
    <t>Arocha-Gill</t>
  </si>
  <si>
    <t>Executive Director Special Education</t>
  </si>
  <si>
    <t>(512) 414-7733</t>
  </si>
  <si>
    <t>Jaretha</t>
  </si>
  <si>
    <t>jaretha.jordan@fortbendisd.com</t>
  </si>
  <si>
    <t>Very strong signals around standards=based academic growth, elimination of low-performing campuses and system-wide instructional coherence. The plan is highly data-driven with explicit long-range targets for literacy, math, CCMR, and campus ratings. Equity, early learning alignment, and family/community engagement are embedded throughout.</t>
  </si>
  <si>
    <t>Very high signal because GISD sets explicit STAAR math targets (e.g., Grade 3 to 58% and Grade 6 to 56% by 2030), with defined annual benchmarks; pairs them with detailed strategies including HQIM implementation, numeracy fluency programs, assessment frameworks, and Algebra readiness pathways</t>
  </si>
  <si>
    <t>High signal - robust, structured supports (MTSS, targeted math interventions, campus-level differentiations, and gap-closing strategies). While comprehensive, these are standard best-pracctice interventions, not system redesign.</t>
  </si>
  <si>
    <t>Very high signal through clear CCMR and TSI outcome targets and aligned strategies; strong metrics and systems but not the dominant focus compared to core academics</t>
  </si>
  <si>
    <t>Medium signal - subgroup support is embedded through programs and tracking systems but lacks same degree of explicit targets and system overhaul seen in core academics</t>
  </si>
  <si>
    <t>High signal with strong emphasis on PD, coaching, mentoring, and instructional leadership pipelines. It is well-developed but largely conventional; expansion of Collaborative Learning Communities (CLCs); beginning teacher mentoring and residency programs to improve retentino and effectiveness</t>
  </si>
  <si>
    <t>Very high signal - districtwide HQIM implementation; explicit instruction frameworks; deeply embedded but still operates within standard curriculum alignment model; introduction of formative, summative, and diagnostic assessments (i-Ready, STAAR, CBAs); development of vertical curriculum frameworks; use of AI-assisted writing tools for feedback and instruction</t>
  </si>
  <si>
    <t>Title I, II, III, Perkins V, LASO III</t>
  </si>
  <si>
    <t>Wholescale systemic reform across instruction, staffing, central office, accountability and school models; plan explicitly calls for redesigning education system, not incremental improvement; long-term measurable outcomes tied to achievement gaps and workforce readiness</t>
  </si>
  <si>
    <t>Very high signal - math deeply embedded in achievement gap closure, NWEA/STAAR performance tracking, and instructional quality reforms; not isolated as a standalone priority but part of larger systemic change</t>
  </si>
  <si>
    <t>Extremely strong - structural redesign of intervention delivery; tiered model with NES, D/F improvement required schools, and C-rated "Raising the Bar" schools; mandatory extended learning time (178-185 days); centralized lesson planning + curriculum supports for high-need campuses; deployment of teacher apprentices and coaching structures</t>
  </si>
  <si>
    <t>Extremely strong signal b ased on full system redesign; creation of Principals' Academy pipeline (75 leaders/year); expansion of teacher leadership roles and leadership density model; implementation of new evaluation systesms tied to instructional quality and outcomes; alignment of professional development, coaching, and accountability into one system; direct linkage of leadership performance to instructional improvement and student achievement</t>
  </si>
  <si>
    <t>Very high - increase CCMR from 63% to 75% by 2028; expansion of industry-based certifications (338 to 1000); integration of Year 2035 competencies: critical thinking, communication, problem-solving; alignment of CTE pathways to workforce demands; development of courses and experiences tied to future workforce skills</t>
  </si>
  <si>
    <t>Extreme signal - mandated system overhaul; required changes include: Full compliance with state SPED corrective actions
Creation of SPED action plan with measurable outcomes
Integration of SPED staff into school leadership structure
Addition of SPED specialist roles for compliance + instructional support
Mandatory staff certification and PD requirement</t>
  </si>
  <si>
    <t>High signal - adoption of content-rich literacy resources (Science of Reading focus); development of centralized lesson plans for priority campuses; emphasis on content rigor and instructional clarity</t>
  </si>
  <si>
    <t>HB3 Early Education Allotment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</si>
</sst>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theme="1"/>
      <name val="Segoe UI"/>
      <family val="2"/>
    </font>
    <font>
      <b/>
      <sz val="11"/>
      <color theme="1"/>
      <name val="Segoe UI"/>
      <family val="2"/>
    </font>
    <font>
      <b/>
      <sz val="12"/>
      <color theme="1"/>
      <name val="Aptos Narrow"/>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rgb="FFF5F083"/>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rgb="FFF5F5F5"/>
        <bgColor indexed="64"/>
      </patternFill>
    </fill>
    <fill>
      <patternFill patternType="solid">
        <fgColor theme="2" tint="-9.9978637043366805E-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thin">
        <color rgb="FF000000"/>
      </left>
      <right style="thin">
        <color rgb="FF000000"/>
      </right>
      <top style="thin">
        <color rgb="FF000000"/>
      </top>
      <bottom/>
      <diagonal/>
    </border>
    <border>
      <left/>
      <right/>
      <top/>
      <bottom style="thin">
        <color rgb="FF000000"/>
      </bottom>
      <diagonal/>
    </border>
  </borders>
  <cellStyleXfs count="2">
    <xf numFmtId="0" fontId="0" fillId="0" borderId="0"/>
    <xf numFmtId="0" fontId="2" fillId="0" borderId="0" applyNumberFormat="0" applyFill="0" applyBorder="0" applyAlignment="0" applyProtection="0"/>
  </cellStyleXfs>
  <cellXfs count="52">
    <xf numFmtId="0" fontId="0" fillId="0" borderId="0" xfId="0"/>
    <xf numFmtId="0" fontId="0" fillId="0" borderId="0" xfId="0" applyAlignment="1">
      <alignment wrapText="1"/>
    </xf>
    <xf numFmtId="0" fontId="0" fillId="3" borderId="1" xfId="0" applyFill="1" applyBorder="1" applyAlignment="1">
      <alignment wrapText="1"/>
    </xf>
    <xf numFmtId="0" fontId="0" fillId="0" borderId="1" xfId="0" applyBorder="1" applyAlignment="1">
      <alignment wrapText="1"/>
    </xf>
    <xf numFmtId="0" fontId="1" fillId="3" borderId="1" xfId="0" applyFont="1" applyFill="1" applyBorder="1" applyAlignment="1">
      <alignment wrapText="1"/>
    </xf>
    <xf numFmtId="0" fontId="1" fillId="0" borderId="1" xfId="0" applyFont="1" applyBorder="1" applyAlignment="1">
      <alignment wrapText="1"/>
    </xf>
    <xf numFmtId="0" fontId="1" fillId="2" borderId="1" xfId="0" applyFont="1" applyFill="1" applyBorder="1" applyAlignment="1">
      <alignment horizontal="center" wrapText="1"/>
    </xf>
    <xf numFmtId="9" fontId="0" fillId="0" borderId="0" xfId="0" applyNumberFormat="1" applyAlignment="1">
      <alignment wrapText="1"/>
    </xf>
    <xf numFmtId="10" fontId="0" fillId="0" borderId="0" xfId="0" applyNumberFormat="1" applyAlignment="1">
      <alignment wrapText="1"/>
    </xf>
    <xf numFmtId="0" fontId="2" fillId="0" borderId="0" xfId="1" applyAlignment="1">
      <alignment wrapText="1"/>
    </xf>
    <xf numFmtId="0" fontId="2" fillId="0" borderId="0" xfId="1" applyFill="1" applyAlignment="1">
      <alignment wrapText="1"/>
    </xf>
    <xf numFmtId="0" fontId="2" fillId="0" borderId="0" xfId="1" applyBorder="1" applyAlignment="1">
      <alignment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xf numFmtId="0" fontId="1" fillId="2" borderId="5" xfId="0" applyFont="1" applyFill="1" applyBorder="1" applyAlignment="1">
      <alignment horizontal="center" wrapText="1"/>
    </xf>
    <xf numFmtId="0" fontId="1" fillId="2" borderId="6" xfId="0" applyFont="1" applyFill="1" applyBorder="1" applyAlignment="1">
      <alignment horizontal="center" wrapText="1"/>
    </xf>
    <xf numFmtId="0" fontId="0" fillId="0" borderId="7" xfId="0" applyBorder="1" applyAlignment="1">
      <alignment wrapText="1"/>
    </xf>
    <xf numFmtId="0" fontId="2" fillId="0" borderId="8" xfId="1" applyBorder="1" applyAlignment="1">
      <alignment wrapText="1"/>
    </xf>
    <xf numFmtId="0" fontId="0" fillId="0" borderId="8" xfId="0" applyBorder="1" applyAlignment="1">
      <alignment wrapText="1"/>
    </xf>
    <xf numFmtId="0" fontId="1" fillId="0" borderId="0" xfId="0" applyFont="1" applyAlignment="1">
      <alignment wrapText="1"/>
    </xf>
    <xf numFmtId="0" fontId="0" fillId="0" borderId="0" xfId="0" applyAlignment="1">
      <alignment vertical="top" wrapText="1"/>
    </xf>
    <xf numFmtId="0" fontId="2" fillId="0" borderId="0" xfId="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1" fillId="2" borderId="11" xfId="0" applyFont="1" applyFill="1" applyBorder="1" applyAlignment="1">
      <alignment horizontal="center" wrapText="1"/>
    </xf>
    <xf numFmtId="0" fontId="1" fillId="2" borderId="2" xfId="0" applyFont="1" applyFill="1" applyBorder="1" applyAlignment="1">
      <alignment vertical="top" wrapText="1"/>
    </xf>
    <xf numFmtId="0" fontId="1" fillId="6" borderId="0" xfId="0" applyFont="1" applyFill="1" applyAlignment="1">
      <alignment horizontal="center" wrapText="1"/>
    </xf>
    <xf numFmtId="0" fontId="1" fillId="7" borderId="0" xfId="0" applyFont="1" applyFill="1" applyAlignment="1">
      <alignment horizontal="center" wrapText="1"/>
    </xf>
    <xf numFmtId="0" fontId="1" fillId="8" borderId="0" xfId="0" applyFont="1" applyFill="1" applyAlignment="1">
      <alignment horizontal="center" wrapText="1"/>
    </xf>
    <xf numFmtId="0" fontId="1" fillId="5" borderId="0" xfId="0" applyFont="1" applyFill="1" applyAlignment="1">
      <alignment horizontal="center" wrapText="1"/>
    </xf>
    <xf numFmtId="0" fontId="1" fillId="9" borderId="0" xfId="0" applyFont="1" applyFill="1" applyAlignment="1">
      <alignment horizontal="center" wrapText="1"/>
    </xf>
    <xf numFmtId="0" fontId="1" fillId="2" borderId="12" xfId="0" applyFont="1" applyFill="1" applyBorder="1" applyAlignment="1">
      <alignment horizontal="center" wrapText="1"/>
    </xf>
    <xf numFmtId="164" fontId="1" fillId="2" borderId="1" xfId="0" applyNumberFormat="1" applyFont="1" applyFill="1" applyBorder="1" applyAlignment="1">
      <alignment horizontal="center" wrapText="1"/>
    </xf>
    <xf numFmtId="164" fontId="1" fillId="2" borderId="3" xfId="0" applyNumberFormat="1" applyFont="1" applyFill="1" applyBorder="1" applyAlignment="1">
      <alignment horizontal="center" wrapText="1"/>
    </xf>
    <xf numFmtId="164" fontId="1" fillId="2" borderId="2" xfId="0" applyNumberFormat="1" applyFont="1" applyFill="1" applyBorder="1" applyAlignment="1">
      <alignment horizontal="center" wrapText="1"/>
    </xf>
    <xf numFmtId="164" fontId="0" fillId="0" borderId="0" xfId="0" applyNumberFormat="1" applyAlignment="1">
      <alignment wrapText="1"/>
    </xf>
    <xf numFmtId="0" fontId="1" fillId="0" borderId="0" xfId="0" applyFont="1" applyAlignment="1">
      <alignment horizontal="center" wrapText="1"/>
    </xf>
    <xf numFmtId="0" fontId="1" fillId="0" borderId="0" xfId="0" applyFont="1"/>
    <xf numFmtId="0" fontId="1" fillId="0" borderId="0" xfId="0" applyFont="1" applyAlignment="1">
      <alignment horizontal="center"/>
    </xf>
    <xf numFmtId="0" fontId="0" fillId="0" borderId="0" xfId="0" applyAlignment="1">
      <alignment horizontal="center"/>
    </xf>
    <xf numFmtId="2" fontId="0" fillId="0" borderId="0" xfId="0" applyNumberFormat="1" applyAlignment="1">
      <alignment wrapText="1"/>
    </xf>
    <xf numFmtId="1" fontId="1" fillId="2" borderId="1" xfId="0" applyNumberFormat="1" applyFont="1" applyFill="1" applyBorder="1" applyAlignment="1">
      <alignment horizontal="center" wrapText="1"/>
    </xf>
    <xf numFmtId="1" fontId="0" fillId="0" borderId="0" xfId="0" applyNumberFormat="1" applyAlignment="1">
      <alignment wrapText="1"/>
    </xf>
    <xf numFmtId="2" fontId="1" fillId="2" borderId="1" xfId="0" applyNumberFormat="1" applyFont="1" applyFill="1" applyBorder="1" applyAlignment="1">
      <alignment horizontal="center" wrapText="1"/>
    </xf>
    <xf numFmtId="0" fontId="4" fillId="11" borderId="2" xfId="0" applyFont="1" applyFill="1" applyBorder="1" applyAlignment="1">
      <alignment horizontal="center" vertical="center" wrapText="1"/>
    </xf>
    <xf numFmtId="0" fontId="3" fillId="0" borderId="2" xfId="0" applyFont="1" applyBorder="1" applyAlignment="1">
      <alignment vertical="center" wrapText="1"/>
    </xf>
    <xf numFmtId="9" fontId="3" fillId="0" borderId="2" xfId="0" applyNumberFormat="1" applyFont="1" applyBorder="1" applyAlignment="1">
      <alignment vertical="center" wrapText="1"/>
    </xf>
    <xf numFmtId="0" fontId="5" fillId="4" borderId="0" xfId="0" applyFont="1" applyFill="1"/>
    <xf numFmtId="0" fontId="0" fillId="12" borderId="0" xfId="0" applyFill="1"/>
    <xf numFmtId="0" fontId="2" fillId="12" borderId="0" xfId="1" applyFill="1"/>
    <xf numFmtId="0" fontId="1" fillId="10" borderId="1" xfId="0" applyFont="1" applyFill="1" applyBorder="1" applyAlignment="1">
      <alignment horizontal="center" vertical="center" wrapText="1"/>
    </xf>
    <xf numFmtId="0" fontId="1" fillId="4" borderId="0" xfId="0" applyFont="1" applyFill="1" applyAlignment="1">
      <alignment horizontal="center" vertical="top" wrapText="1"/>
    </xf>
  </cellXfs>
  <cellStyles count="2">
    <cellStyle name="Hyperlink" xfId="1" builtinId="8"/>
    <cellStyle name="Normal" xfId="0" builtinId="0"/>
  </cellStyles>
  <dxfs count="3">
    <dxf>
      <fill>
        <patternFill>
          <bgColor theme="3" tint="0.24994659260841701"/>
        </patternFill>
      </fill>
    </dxf>
    <dxf>
      <fill>
        <patternFill>
          <bgColor theme="3" tint="0.749961851863155"/>
        </patternFill>
      </fill>
    </dxf>
    <dxf>
      <fill>
        <patternFill>
          <bgColor theme="3" tint="0.89996032593768116"/>
        </patternFill>
      </fill>
    </dxf>
  </dxfs>
  <tableStyles count="0" defaultTableStyle="TableStyleMedium2" defaultPivotStyle="PivotStyleMedium9"/>
  <colors>
    <mruColors>
      <color rgb="FFF5F08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Overall Weighted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'Purpose &amp; Methodology'!$E$1</c:f>
              <c:strCache>
                <c:ptCount val="1"/>
                <c:pt idx="0">
                  <c:v>Weight</c:v>
                </c:pt>
              </c:strCache>
            </c:strRef>
          </c:tx>
          <c:dPt>
            <c:idx val="0"/>
            <c:bubble3D val="0"/>
            <c:explosion val="3"/>
            <c:spPr>
              <a:solidFill>
                <a:schemeClr val="tx2">
                  <a:lumMod val="75000"/>
                  <a:lumOff val="2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4F2-4818-81BF-D4546ABF59F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457-4641-9B62-5DCF6FD10EE8}"/>
              </c:ext>
            </c:extLst>
          </c:dPt>
          <c:dPt>
            <c:idx val="2"/>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C4F2-4818-81BF-D4546ABF59F2}"/>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'Purpose &amp; Methodology'!$D$2:$D$4</c:f>
              <c:strCache>
                <c:ptCount val="3"/>
                <c:pt idx="0">
                  <c:v>Strategic</c:v>
                </c:pt>
                <c:pt idx="1">
                  <c:v>Relationships</c:v>
                </c:pt>
                <c:pt idx="2">
                  <c:v>Contracts</c:v>
                </c:pt>
              </c:strCache>
            </c:strRef>
          </c:cat>
          <c:val>
            <c:numRef>
              <c:f>'Purpose &amp; Methodology'!$E$2:$E$4</c:f>
              <c:numCache>
                <c:formatCode>0%</c:formatCode>
                <c:ptCount val="3"/>
                <c:pt idx="0">
                  <c:v>0.7</c:v>
                </c:pt>
                <c:pt idx="1">
                  <c:v>0.15</c:v>
                </c:pt>
                <c:pt idx="2">
                  <c:v>0.15</c:v>
                </c:pt>
              </c:numCache>
            </c:numRef>
          </c:val>
          <c:extLst>
            <c:ext xmlns:c16="http://schemas.microsoft.com/office/drawing/2014/chart" uri="{C3380CC4-5D6E-409C-BE32-E72D297353CC}">
              <c16:uniqueId val="{00000000-C4F2-4818-81BF-D4546ABF59F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Strategic Weighted Score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tx>
            <c:strRef>
              <c:f>'Purpose &amp; Methodology'!$E$10</c:f>
              <c:strCache>
                <c:ptCount val="1"/>
                <c:pt idx="0">
                  <c:v>Weight</c:v>
                </c:pt>
              </c:strCache>
            </c:strRef>
          </c:tx>
          <c:dPt>
            <c:idx val="0"/>
            <c:bubble3D val="0"/>
            <c:spPr>
              <a:solidFill>
                <a:schemeClr val="tx2">
                  <a:lumMod val="50000"/>
                  <a:lumOff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BD8-487D-97B7-8D9703AAFF2F}"/>
              </c:ext>
            </c:extLst>
          </c:dPt>
          <c:dPt>
            <c:idx val="1"/>
            <c:bubble3D val="0"/>
            <c:explosion val="2"/>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BBD8-487D-97B7-8D9703AAFF2F}"/>
              </c:ext>
            </c:extLst>
          </c:dPt>
          <c:dPt>
            <c:idx val="2"/>
            <c:bubble3D val="0"/>
            <c:spPr>
              <a:solidFill>
                <a:schemeClr val="accent3">
                  <a:lumMod val="40000"/>
                  <a:lumOff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BD8-487D-97B7-8D9703AAFF2F}"/>
              </c:ext>
            </c:extLst>
          </c:dPt>
          <c:dPt>
            <c:idx val="3"/>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BBD8-487D-97B7-8D9703AAFF2F}"/>
              </c:ext>
            </c:extLst>
          </c:dPt>
          <c:dPt>
            <c:idx val="4"/>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BBD8-487D-97B7-8D9703AAFF2F}"/>
              </c:ext>
            </c:extLst>
          </c:dPt>
          <c:dPt>
            <c:idx val="5"/>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BBD8-487D-97B7-8D9703AAFF2F}"/>
              </c:ext>
            </c:extLst>
          </c:dPt>
          <c:dPt>
            <c:idx val="6"/>
            <c:bubble3D val="0"/>
            <c:spPr>
              <a:solidFill>
                <a:schemeClr val="accent5">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BBD8-487D-97B7-8D9703AAFF2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'Purpose &amp; Methodology'!$D$11:$D$17</c:f>
              <c:strCache>
                <c:ptCount val="7"/>
                <c:pt idx="0">
                  <c:v>District Size</c:v>
                </c:pt>
                <c:pt idx="1">
                  <c:v>Career Fit</c:v>
                </c:pt>
                <c:pt idx="2">
                  <c:v>Math Fit</c:v>
                </c:pt>
                <c:pt idx="3">
                  <c:v>SPED/ELL</c:v>
                </c:pt>
                <c:pt idx="4">
                  <c:v>Intervention</c:v>
                </c:pt>
                <c:pt idx="5">
                  <c:v>CSI/TSI</c:v>
                </c:pt>
                <c:pt idx="6">
                  <c:v>Teacher</c:v>
                </c:pt>
              </c:strCache>
            </c:strRef>
          </c:cat>
          <c:val>
            <c:numRef>
              <c:f>'Purpose &amp; Methodology'!$E$11:$E$17</c:f>
              <c:numCache>
                <c:formatCode>0%</c:formatCode>
                <c:ptCount val="7"/>
                <c:pt idx="0">
                  <c:v>0.2</c:v>
                </c:pt>
                <c:pt idx="1">
                  <c:v>0.2</c:v>
                </c:pt>
                <c:pt idx="2">
                  <c:v>0.15</c:v>
                </c:pt>
                <c:pt idx="3">
                  <c:v>0.15</c:v>
                </c:pt>
                <c:pt idx="4">
                  <c:v>0.1</c:v>
                </c:pt>
                <c:pt idx="5">
                  <c:v>0.1</c:v>
                </c:pt>
                <c:pt idx="6">
                  <c:v>0.1</c:v>
                </c:pt>
              </c:numCache>
            </c:numRef>
          </c:val>
          <c:extLst>
            <c:ext xmlns:c16="http://schemas.microsoft.com/office/drawing/2014/chart" uri="{C3380CC4-5D6E-409C-BE32-E72D297353CC}">
              <c16:uniqueId val="{00000000-BBD8-487D-97B7-8D9703AAFF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19050</xdr:colOff>
      <xdr:row>0</xdr:row>
      <xdr:rowOff>0</xdr:rowOff>
    </xdr:from>
    <xdr:to>
      <xdr:col>12</xdr:col>
      <xdr:colOff>600076</xdr:colOff>
      <xdr:row>8</xdr:row>
      <xdr:rowOff>142874</xdr:rowOff>
    </xdr:to>
    <xdr:graphicFrame macro="">
      <xdr:nvGraphicFramePr>
        <xdr:cNvPr id="2" name="Chart 1">
          <a:extLst>
            <a:ext uri="{FF2B5EF4-FFF2-40B4-BE49-F238E27FC236}">
              <a16:creationId xmlns:a16="http://schemas.microsoft.com/office/drawing/2014/main" id="{E6CEA8A9-0A65-AAF7-9371-2FC419C629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38099</xdr:colOff>
      <xdr:row>8</xdr:row>
      <xdr:rowOff>161925</xdr:rowOff>
    </xdr:from>
    <xdr:to>
      <xdr:col>13</xdr:col>
      <xdr:colOff>0</xdr:colOff>
      <xdr:row>21</xdr:row>
      <xdr:rowOff>76200</xdr:rowOff>
    </xdr:to>
    <xdr:graphicFrame macro="">
      <xdr:nvGraphicFramePr>
        <xdr:cNvPr id="3" name="Chart 2">
          <a:extLst>
            <a:ext uri="{FF2B5EF4-FFF2-40B4-BE49-F238E27FC236}">
              <a16:creationId xmlns:a16="http://schemas.microsoft.com/office/drawing/2014/main" id="{79FB10A8-D54A-97F5-67BA-468E5EE796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Curtis, James" id="{74F3F131-B3F9-47ED-87F5-CA4EF0E5F35B}" userId="S::JaCurtis@pcgus.com::d197df56-5187-460c-ad22-98d9f275a4e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 dT="2026-05-15T20:01:42.53" personId="{74F3F131-B3F9-47ED-87F5-CA4EF0E5F35B}" id="{5DD7F94F-AD70-4B13-842B-6BEC73C3940C}">
    <text>Columns F-I: Texas Tribune data 2026</text>
  </threadedComment>
  <threadedComment ref="J1" dT="2026-05-15T20:01:18.38" personId="{74F3F131-B3F9-47ED-87F5-CA4EF0E5F35B}" id="{06F53F8C-9360-499E-AF17-9614AF2CA7B3}">
    <text>NCES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planoisd.org/" TargetMode="External"/><Relationship Id="rId13" Type="http://schemas.openxmlformats.org/officeDocument/2006/relationships/hyperlink" Target="https://www.laredoisd.org/" TargetMode="External"/><Relationship Id="rId18" Type="http://schemas.openxmlformats.org/officeDocument/2006/relationships/hyperlink" Target="https://www.ideaisd.org/" TargetMode="External"/><Relationship Id="rId26" Type="http://schemas.openxmlformats.org/officeDocument/2006/relationships/hyperlink" Target="https://www.dallasisd.org/" TargetMode="External"/><Relationship Id="rId3" Type="http://schemas.openxmlformats.org/officeDocument/2006/relationships/hyperlink" Target="https://www.arlingtonisd.org/" TargetMode="External"/><Relationship Id="rId21" Type="http://schemas.openxmlformats.org/officeDocument/2006/relationships/hyperlink" Target="https://www.friscoisd.org/" TargetMode="External"/><Relationship Id="rId7" Type="http://schemas.openxmlformats.org/officeDocument/2006/relationships/hyperlink" Target="https://www.socorroisd.org/" TargetMode="External"/><Relationship Id="rId12" Type="http://schemas.openxmlformats.org/officeDocument/2006/relationships/hyperlink" Target="https://www.mcallenisd.org/" TargetMode="External"/><Relationship Id="rId17" Type="http://schemas.openxmlformats.org/officeDocument/2006/relationships/hyperlink" Target="https://www.irvingisd.org/" TargetMode="External"/><Relationship Id="rId25" Type="http://schemas.openxmlformats.org/officeDocument/2006/relationships/hyperlink" Target="https://www.dentonisd.org/" TargetMode="External"/><Relationship Id="rId2" Type="http://schemas.openxmlformats.org/officeDocument/2006/relationships/hyperlink" Target="https://drive.google.com/file/d/1Tr58kpd15v6MwjHQMC0c_2Oi_FwKFYpC/view" TargetMode="External"/><Relationship Id="rId16" Type="http://schemas.openxmlformats.org/officeDocument/2006/relationships/hyperlink" Target="https://www.katyisd.org/" TargetMode="External"/><Relationship Id="rId20" Type="http://schemas.openxmlformats.org/officeDocument/2006/relationships/hyperlink" Target="https://www.garlandisd.org/" TargetMode="External"/><Relationship Id="rId29" Type="http://schemas.openxmlformats.org/officeDocument/2006/relationships/hyperlink" Target="https://www.aisd.net/wp-content/files/Arlington-Independent-School-District-District-Plan.pdf" TargetMode="External"/><Relationship Id="rId1" Type="http://schemas.openxmlformats.org/officeDocument/2006/relationships/hyperlink" Target="https://strategicplan.aldineisd.org/" TargetMode="External"/><Relationship Id="rId6" Type="http://schemas.openxmlformats.org/officeDocument/2006/relationships/hyperlink" Target="https://www.sanisd.org/" TargetMode="External"/><Relationship Id="rId11" Type="http://schemas.openxmlformats.org/officeDocument/2006/relationships/hyperlink" Target="https://www.northisd.org/" TargetMode="External"/><Relationship Id="rId24" Type="http://schemas.openxmlformats.org/officeDocument/2006/relationships/hyperlink" Target="https://www.elisd.org/" TargetMode="External"/><Relationship Id="rId32" Type="http://schemas.microsoft.com/office/2017/10/relationships/threadedComment" Target="../threadedComments/threadedComment1.xml"/><Relationship Id="rId5" Type="http://schemas.openxmlformats.org/officeDocument/2006/relationships/hyperlink" Target="https://www.brownsvilleisd.org/" TargetMode="External"/><Relationship Id="rId15" Type="http://schemas.openxmlformats.org/officeDocument/2006/relationships/hyperlink" Target="https://www.kleinisd.org/" TargetMode="External"/><Relationship Id="rId23" Type="http://schemas.openxmlformats.org/officeDocument/2006/relationships/hyperlink" Target="https://www.fortisd.org/" TargetMode="External"/><Relationship Id="rId28" Type="http://schemas.openxmlformats.org/officeDocument/2006/relationships/hyperlink" Target="https://www.conroeisd.org/" TargetMode="External"/><Relationship Id="rId10" Type="http://schemas.openxmlformats.org/officeDocument/2006/relationships/hyperlink" Target="https://www.northsideisd.org/" TargetMode="External"/><Relationship Id="rId19" Type="http://schemas.openxmlformats.org/officeDocument/2006/relationships/hyperlink" Target="https://www.houstonisd.org/" TargetMode="External"/><Relationship Id="rId31" Type="http://schemas.openxmlformats.org/officeDocument/2006/relationships/comments" Target="../comments1.xml"/><Relationship Id="rId4" Type="http://schemas.openxmlformats.org/officeDocument/2006/relationships/hyperlink" Target="https://www.austinisd.org/" TargetMode="External"/><Relationship Id="rId9" Type="http://schemas.openxmlformats.org/officeDocument/2006/relationships/hyperlink" Target="https://www.pasadenaisd.org/" TargetMode="External"/><Relationship Id="rId14" Type="http://schemas.openxmlformats.org/officeDocument/2006/relationships/hyperlink" Target="https://www.lamarisd.org/" TargetMode="External"/><Relationship Id="rId22" Type="http://schemas.openxmlformats.org/officeDocument/2006/relationships/hyperlink" Target="https://www.fortisd.org/" TargetMode="External"/><Relationship Id="rId27" Type="http://schemas.openxmlformats.org/officeDocument/2006/relationships/hyperlink" Target="https://www.cypress-fairbanksisd.org/" TargetMode="External"/><Relationship Id="rId30"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hyperlink" Target="mailto:tybailey@aldineisd.org" TargetMode="External"/><Relationship Id="rId2" Type="http://schemas.openxmlformats.org/officeDocument/2006/relationships/hyperlink" Target="mailto:gforoi@aldineisd.org" TargetMode="External"/><Relationship Id="rId1" Type="http://schemas.openxmlformats.org/officeDocument/2006/relationships/hyperlink" Target="mailto:lmgoffney@aldineisd.org" TargetMode="External"/><Relationship Id="rId5" Type="http://schemas.openxmlformats.org/officeDocument/2006/relationships/hyperlink" Target="mailto:DNAyers@AldineISD.org" TargetMode="External"/><Relationship Id="rId4" Type="http://schemas.openxmlformats.org/officeDocument/2006/relationships/hyperlink" Target="mailto:asmartin@aldineisd.or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tmansfield@aldineisd.org" TargetMode="External"/><Relationship Id="rId13" Type="http://schemas.openxmlformats.org/officeDocument/2006/relationships/hyperlink" Target="mailto:bahernandez@bisd.us" TargetMode="External"/><Relationship Id="rId3" Type="http://schemas.openxmlformats.org/officeDocument/2006/relationships/hyperlink" Target="mailto:bdmartin@aldineisd.org" TargetMode="External"/><Relationship Id="rId7" Type="http://schemas.openxmlformats.org/officeDocument/2006/relationships/hyperlink" Target="mailto:msmith32@aisd.net" TargetMode="External"/><Relationship Id="rId12" Type="http://schemas.openxmlformats.org/officeDocument/2006/relationships/hyperlink" Target="mailto:matias.segura@austinisd.org" TargetMode="External"/><Relationship Id="rId2" Type="http://schemas.openxmlformats.org/officeDocument/2006/relationships/hyperlink" Target="mailto:fcantu@aldineisd.org" TargetMode="External"/><Relationship Id="rId16" Type="http://schemas.openxmlformats.org/officeDocument/2006/relationships/hyperlink" Target="mailto:dvinson@conroeisd.net" TargetMode="External"/><Relationship Id="rId1" Type="http://schemas.openxmlformats.org/officeDocument/2006/relationships/hyperlink" Target="mailto:lmgoffney@aldineisd.org" TargetMode="External"/><Relationship Id="rId6" Type="http://schemas.openxmlformats.org/officeDocument/2006/relationships/hyperlink" Target="mailto:tlegrand@aisd.net" TargetMode="External"/><Relationship Id="rId11" Type="http://schemas.openxmlformats.org/officeDocument/2006/relationships/hyperlink" Target="mailto:emailshayla.maxwell@austinisd.org" TargetMode="External"/><Relationship Id="rId5" Type="http://schemas.openxmlformats.org/officeDocument/2006/relationships/hyperlink" Target="mailto:dhardy1@aisd.net" TargetMode="External"/><Relationship Id="rId15" Type="http://schemas.openxmlformats.org/officeDocument/2006/relationships/hyperlink" Target="mailto:douglas.killian@cfisd.net" TargetMode="External"/><Relationship Id="rId10" Type="http://schemas.openxmlformats.org/officeDocument/2006/relationships/hyperlink" Target="mailto:tammy.caesar@austinisd.org" TargetMode="External"/><Relationship Id="rId4" Type="http://schemas.openxmlformats.org/officeDocument/2006/relationships/hyperlink" Target="mailto:cmcgowan@aisd.net" TargetMode="External"/><Relationship Id="rId9" Type="http://schemas.openxmlformats.org/officeDocument/2006/relationships/hyperlink" Target="mailto:krystal.frank@austinisd.org" TargetMode="External"/><Relationship Id="rId14" Type="http://schemas.openxmlformats.org/officeDocument/2006/relationships/hyperlink" Target="mailto:selizalde@dallasisd.org"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files-backend.assets.thrillshare.com/documents/asset/uploaded_file/5547/Bisd/945d33fc-854e-4dc3-9c5d-51ca48eadd41/View_the_2024-2029_Strategic_Action_Plan.pdf?disposition=inline" TargetMode="External"/><Relationship Id="rId2" Type="http://schemas.openxmlformats.org/officeDocument/2006/relationships/hyperlink" Target="https://www.austinisd.org/sites/default/files/dept/strategic-plan/docs/AISD_Improvement_Plan_2025-2026.pdf" TargetMode="External"/><Relationship Id="rId1" Type="http://schemas.openxmlformats.org/officeDocument/2006/relationships/hyperlink" Target="https://www.aisd.net/wp-content/files/Arlington-Independent-School-District-District-Plan.pdf" TargetMode="External"/><Relationship Id="rId5" Type="http://schemas.openxmlformats.org/officeDocument/2006/relationships/hyperlink" Target="https://resources.finalsite.net/images/v1767901112/dallasisdorg/dallasisdorg/bkrlx3afxteovjoigu3b/districtimprovementplan.pdf" TargetMode="External"/><Relationship Id="rId4" Type="http://schemas.openxmlformats.org/officeDocument/2006/relationships/hyperlink" Target="https://drive.google.com/file/d/1zPzmykbYYCQ8xeAXq5loMdMlg_7Afgp5/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E17"/>
  <sheetViews>
    <sheetView workbookViewId="0">
      <selection activeCell="P9" sqref="P9"/>
    </sheetView>
  </sheetViews>
  <sheetFormatPr defaultColWidth="9.140625" defaultRowHeight="15" x14ac:dyDescent="0.25"/>
  <cols>
    <col min="1" max="1" width="91" style="1" customWidth="1"/>
    <col min="2" max="3" width="9.140625" style="1"/>
    <col min="4" max="5" width="10.85546875" style="1" customWidth="1"/>
    <col min="6" max="16384" width="9.140625" style="1"/>
  </cols>
  <sheetData>
    <row r="1" spans="1:5" ht="16.5" x14ac:dyDescent="0.25">
      <c r="A1" s="50" t="s">
        <v>0</v>
      </c>
      <c r="D1" s="44" t="s">
        <v>1151</v>
      </c>
      <c r="E1" s="44" t="s">
        <v>1152</v>
      </c>
    </row>
    <row r="2" spans="1:5" ht="16.5" x14ac:dyDescent="0.25">
      <c r="A2" s="50"/>
      <c r="D2" s="45" t="s">
        <v>1153</v>
      </c>
      <c r="E2" s="46">
        <v>0.7</v>
      </c>
    </row>
    <row r="3" spans="1:5" ht="45" x14ac:dyDescent="0.25">
      <c r="A3" s="2" t="s">
        <v>1</v>
      </c>
      <c r="D3" s="45" t="s">
        <v>1154</v>
      </c>
      <c r="E3" s="46">
        <v>0.15</v>
      </c>
    </row>
    <row r="4" spans="1:5" ht="45" x14ac:dyDescent="0.25">
      <c r="A4" s="3" t="s">
        <v>2</v>
      </c>
      <c r="D4" s="45" t="s">
        <v>1155</v>
      </c>
      <c r="E4" s="46">
        <v>0.15</v>
      </c>
    </row>
    <row r="5" spans="1:5" x14ac:dyDescent="0.25">
      <c r="A5" s="2" t="s">
        <v>3</v>
      </c>
    </row>
    <row r="6" spans="1:5" x14ac:dyDescent="0.25">
      <c r="A6" s="3" t="s">
        <v>4</v>
      </c>
    </row>
    <row r="7" spans="1:5" x14ac:dyDescent="0.25">
      <c r="A7" s="4" t="s">
        <v>1148</v>
      </c>
    </row>
    <row r="8" spans="1:5" ht="30" x14ac:dyDescent="0.25">
      <c r="A8" s="5" t="s">
        <v>1149</v>
      </c>
    </row>
    <row r="9" spans="1:5" x14ac:dyDescent="0.25">
      <c r="A9" s="4" t="s">
        <v>1150</v>
      </c>
    </row>
    <row r="10" spans="1:5" ht="30" x14ac:dyDescent="0.25">
      <c r="A10" s="3" t="s">
        <v>5</v>
      </c>
      <c r="D10" s="44" t="s">
        <v>1151</v>
      </c>
      <c r="E10" s="44" t="s">
        <v>1152</v>
      </c>
    </row>
    <row r="11" spans="1:5" ht="33" x14ac:dyDescent="0.25">
      <c r="D11" s="45" t="s">
        <v>1156</v>
      </c>
      <c r="E11" s="46">
        <v>0.2</v>
      </c>
    </row>
    <row r="12" spans="1:5" ht="16.5" x14ac:dyDescent="0.25">
      <c r="D12" s="45" t="s">
        <v>1157</v>
      </c>
      <c r="E12" s="46">
        <v>0.2</v>
      </c>
    </row>
    <row r="13" spans="1:5" ht="16.5" x14ac:dyDescent="0.25">
      <c r="D13" s="45" t="s">
        <v>1158</v>
      </c>
      <c r="E13" s="46">
        <v>0.15</v>
      </c>
    </row>
    <row r="14" spans="1:5" ht="16.5" x14ac:dyDescent="0.25">
      <c r="D14" s="45" t="s">
        <v>1159</v>
      </c>
      <c r="E14" s="46">
        <v>0.15</v>
      </c>
    </row>
    <row r="15" spans="1:5" ht="33" x14ac:dyDescent="0.25">
      <c r="D15" s="45" t="s">
        <v>1160</v>
      </c>
      <c r="E15" s="46">
        <v>0.1</v>
      </c>
    </row>
    <row r="16" spans="1:5" ht="16.5" x14ac:dyDescent="0.25">
      <c r="D16" s="45" t="s">
        <v>1161</v>
      </c>
      <c r="E16" s="46">
        <v>0.1</v>
      </c>
    </row>
    <row r="17" spans="4:5" ht="16.5" x14ac:dyDescent="0.25">
      <c r="D17" s="45" t="s">
        <v>1162</v>
      </c>
      <c r="E17" s="46">
        <v>0.1</v>
      </c>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56074-FCEC-41F8-9902-4C7D8A1D0B27}">
  <sheetPr>
    <tabColor theme="8" tint="0.79998168889431442"/>
  </sheetPr>
  <dimension ref="A1:P28"/>
  <sheetViews>
    <sheetView tabSelected="1" zoomScale="110" zoomScaleNormal="110" workbookViewId="0">
      <selection activeCell="A15" sqref="A15:XFD15"/>
    </sheetView>
  </sheetViews>
  <sheetFormatPr defaultColWidth="9.140625" defaultRowHeight="15" x14ac:dyDescent="0.25"/>
  <cols>
    <col min="1" max="1" width="21" style="35" customWidth="1"/>
    <col min="2" max="14" width="14.7109375" style="35" customWidth="1"/>
    <col min="15" max="18" width="12.7109375" style="35" customWidth="1"/>
    <col min="19" max="16384" width="9.140625" style="35"/>
  </cols>
  <sheetData>
    <row r="1" spans="1:16" ht="90" x14ac:dyDescent="0.25">
      <c r="A1" s="32" t="s">
        <v>6</v>
      </c>
      <c r="B1" s="32" t="s">
        <v>7</v>
      </c>
      <c r="C1" s="32" t="s">
        <v>287</v>
      </c>
      <c r="D1" s="32" t="s">
        <v>329</v>
      </c>
      <c r="E1" s="32" t="s">
        <v>288</v>
      </c>
      <c r="F1" s="32" t="s">
        <v>328</v>
      </c>
      <c r="G1" s="32" t="s">
        <v>289</v>
      </c>
      <c r="H1" s="32" t="s">
        <v>290</v>
      </c>
      <c r="I1" s="32" t="s">
        <v>291</v>
      </c>
      <c r="J1" s="32" t="s">
        <v>219</v>
      </c>
      <c r="K1" s="32" t="s">
        <v>292</v>
      </c>
      <c r="L1" s="32" t="s">
        <v>293</v>
      </c>
      <c r="M1" s="32" t="s">
        <v>162</v>
      </c>
      <c r="N1" s="32" t="s">
        <v>218</v>
      </c>
      <c r="O1" s="33" t="s">
        <v>330</v>
      </c>
      <c r="P1" s="34" t="s">
        <v>8</v>
      </c>
    </row>
    <row r="2" spans="1:16" x14ac:dyDescent="0.25">
      <c r="A2" s="35" t="s">
        <v>10</v>
      </c>
      <c r="B2" s="35">
        <v>56400</v>
      </c>
      <c r="C2" s="35">
        <f>IF(B2&gt;86000,5,IF(B2&gt;64200,4,IF(B2&gt;52520,3,IF(B2&gt;43400,2,1))))</f>
        <v>3</v>
      </c>
      <c r="D2" s="35">
        <v>3.5</v>
      </c>
      <c r="E2" s="35">
        <v>4</v>
      </c>
      <c r="F2" s="35">
        <v>4.5</v>
      </c>
      <c r="G2" s="35">
        <v>3</v>
      </c>
      <c r="H2" s="35">
        <v>5</v>
      </c>
      <c r="I2" s="35">
        <v>4.5</v>
      </c>
      <c r="J2" s="35">
        <f>(C2*0.2)+(D2*0.2)+(E2*0.15)+(F2*0.15)+(G2*0.1)+(H2*0.1)+(I2*0.1)</f>
        <v>3.8250000000000002</v>
      </c>
      <c r="K2" s="35" t="s">
        <v>177</v>
      </c>
      <c r="L2" s="35">
        <f>IF(K2="Yes",5,IF(K2="No",3,))</f>
        <v>3</v>
      </c>
      <c r="M2" s="1" t="s">
        <v>163</v>
      </c>
      <c r="N2" s="35">
        <f>IF(M2="Yes",5,IF(M2="No",3,))</f>
        <v>5</v>
      </c>
      <c r="O2" s="35">
        <f>(J2*70%)+(L2*15%)+(N2*15%)</f>
        <v>3.8774999999999995</v>
      </c>
      <c r="P2" s="35" t="str">
        <f>IF(O2&gt;=4.3,"Tier 1",IF(O2&gt;=3.6,"Tier 2","Tier 3"))</f>
        <v>Tier 2</v>
      </c>
    </row>
    <row r="3" spans="1:16" x14ac:dyDescent="0.25">
      <c r="A3" s="35" t="s">
        <v>11</v>
      </c>
      <c r="B3" s="35">
        <v>53300</v>
      </c>
      <c r="C3" s="35">
        <f t="shared" ref="C3:C28" si="0">IF(B3&gt;86000,5,IF(B3&gt;64200,4,IF(B3&gt;52520,3,IF(B3&gt;43400,2,1))))</f>
        <v>3</v>
      </c>
      <c r="D3" s="35">
        <v>3</v>
      </c>
      <c r="E3" s="35">
        <v>4</v>
      </c>
      <c r="F3" s="35">
        <v>3</v>
      </c>
      <c r="G3" s="35">
        <v>2.5</v>
      </c>
      <c r="H3" s="35">
        <v>5</v>
      </c>
      <c r="I3" s="35">
        <v>4</v>
      </c>
      <c r="J3" s="35">
        <f t="shared" ref="J3:J28" si="1">(C3*0.2)+(D3*0.2)+(E3*0.15)+(F3*0.15)+(G3*0.1)+(H3*0.1)+(I3*0.1)</f>
        <v>3.4</v>
      </c>
      <c r="K3" s="35" t="s">
        <v>163</v>
      </c>
      <c r="L3" s="35">
        <f t="shared" ref="L3:L28" si="2">IF(K3="Yes",5,IF(K3="No",3,))</f>
        <v>5</v>
      </c>
      <c r="M3" s="35" t="s">
        <v>177</v>
      </c>
      <c r="N3" s="35">
        <f t="shared" ref="N3:N28" si="3">IF(M3="Yes",5,IF(M3="No",3,))</f>
        <v>3</v>
      </c>
      <c r="O3" s="35">
        <f t="shared" ref="O3:O28" si="4">(J3*70%)+(L3*15%)+(N3*15%)</f>
        <v>3.58</v>
      </c>
      <c r="P3" s="35" t="str">
        <f t="shared" ref="P3:P28" si="5">IF(O3&gt;=4.3,"Tier 1",IF(O3&gt;=3.6,"Tier 2","Tier 3"))</f>
        <v>Tier 3</v>
      </c>
    </row>
    <row r="4" spans="1:16" x14ac:dyDescent="0.25">
      <c r="A4" s="35" t="s">
        <v>12</v>
      </c>
      <c r="B4" s="35">
        <v>74000</v>
      </c>
      <c r="C4" s="35">
        <f t="shared" si="0"/>
        <v>4</v>
      </c>
      <c r="D4" s="35">
        <v>4.5</v>
      </c>
      <c r="E4" s="35">
        <v>4</v>
      </c>
      <c r="F4" s="35">
        <v>5</v>
      </c>
      <c r="G4" s="35">
        <v>3</v>
      </c>
      <c r="H4" s="35">
        <v>5</v>
      </c>
      <c r="I4" s="35">
        <v>3.5</v>
      </c>
      <c r="J4" s="35">
        <f t="shared" si="1"/>
        <v>4.2</v>
      </c>
      <c r="K4" s="35" t="s">
        <v>177</v>
      </c>
      <c r="L4" s="35">
        <f t="shared" si="2"/>
        <v>3</v>
      </c>
      <c r="M4" s="35" t="s">
        <v>177</v>
      </c>
      <c r="N4" s="35">
        <f t="shared" si="3"/>
        <v>3</v>
      </c>
      <c r="O4" s="35">
        <f t="shared" si="4"/>
        <v>3.84</v>
      </c>
      <c r="P4" s="35" t="str">
        <f t="shared" si="5"/>
        <v>Tier 2</v>
      </c>
    </row>
    <row r="5" spans="1:16" x14ac:dyDescent="0.25">
      <c r="A5" s="35" t="s">
        <v>13</v>
      </c>
      <c r="B5" s="35">
        <v>41000</v>
      </c>
      <c r="C5" s="35">
        <f t="shared" si="0"/>
        <v>1</v>
      </c>
      <c r="D5" s="35">
        <v>4.5</v>
      </c>
      <c r="E5" s="35">
        <v>3</v>
      </c>
      <c r="F5" s="35">
        <v>4</v>
      </c>
      <c r="G5" s="35">
        <v>4.5</v>
      </c>
      <c r="H5" s="35">
        <v>2</v>
      </c>
      <c r="I5" s="35">
        <v>3.5</v>
      </c>
      <c r="J5" s="35">
        <f t="shared" si="1"/>
        <v>3.1500000000000004</v>
      </c>
      <c r="K5" s="35" t="s">
        <v>177</v>
      </c>
      <c r="L5" s="35">
        <f t="shared" si="2"/>
        <v>3</v>
      </c>
      <c r="M5" s="35" t="s">
        <v>177</v>
      </c>
      <c r="N5" s="35">
        <f t="shared" si="3"/>
        <v>3</v>
      </c>
      <c r="O5" s="35">
        <f t="shared" si="4"/>
        <v>3.1050000000000004</v>
      </c>
      <c r="P5" s="35" t="str">
        <f t="shared" si="5"/>
        <v>Tier 3</v>
      </c>
    </row>
    <row r="6" spans="1:16" x14ac:dyDescent="0.25">
      <c r="A6" s="35" t="s">
        <v>14</v>
      </c>
      <c r="B6" s="35">
        <v>72000</v>
      </c>
      <c r="C6" s="35">
        <f t="shared" si="0"/>
        <v>4</v>
      </c>
      <c r="D6" s="35">
        <v>4</v>
      </c>
      <c r="E6" s="35">
        <v>3</v>
      </c>
      <c r="F6" s="35">
        <v>4.5</v>
      </c>
      <c r="G6" s="35">
        <v>4</v>
      </c>
      <c r="H6" s="35">
        <v>2</v>
      </c>
      <c r="I6" s="35">
        <v>4.5</v>
      </c>
      <c r="J6" s="35">
        <f t="shared" si="1"/>
        <v>3.7749999999999999</v>
      </c>
      <c r="K6" s="35" t="s">
        <v>177</v>
      </c>
      <c r="L6" s="35">
        <f t="shared" si="2"/>
        <v>3</v>
      </c>
      <c r="M6" s="35" t="s">
        <v>177</v>
      </c>
      <c r="N6" s="35">
        <f t="shared" si="3"/>
        <v>3</v>
      </c>
      <c r="O6" s="35">
        <f t="shared" si="4"/>
        <v>3.5424999999999995</v>
      </c>
      <c r="P6" s="35" t="str">
        <f t="shared" si="5"/>
        <v>Tier 3</v>
      </c>
    </row>
    <row r="7" spans="1:16" ht="24.75" customHeight="1" x14ac:dyDescent="0.25">
      <c r="A7" s="35" t="s">
        <v>15</v>
      </c>
      <c r="B7" s="35">
        <v>114000</v>
      </c>
      <c r="C7" s="35">
        <f t="shared" si="0"/>
        <v>5</v>
      </c>
      <c r="D7" s="35">
        <v>5</v>
      </c>
      <c r="E7" s="35">
        <v>4.5</v>
      </c>
      <c r="F7" s="35">
        <v>3</v>
      </c>
      <c r="G7" s="35">
        <v>3.5</v>
      </c>
      <c r="H7" s="35">
        <v>3</v>
      </c>
      <c r="I7" s="35">
        <v>5</v>
      </c>
      <c r="J7" s="35">
        <f t="shared" si="1"/>
        <v>4.2750000000000004</v>
      </c>
      <c r="K7" s="35" t="s">
        <v>177</v>
      </c>
      <c r="L7" s="35">
        <f t="shared" si="2"/>
        <v>3</v>
      </c>
      <c r="M7" s="1" t="s">
        <v>163</v>
      </c>
      <c r="N7" s="35">
        <f t="shared" si="3"/>
        <v>5</v>
      </c>
      <c r="O7" s="35">
        <f t="shared" si="4"/>
        <v>4.1924999999999999</v>
      </c>
      <c r="P7" s="35" t="str">
        <f t="shared" si="5"/>
        <v>Tier 2</v>
      </c>
    </row>
    <row r="8" spans="1:16" x14ac:dyDescent="0.25">
      <c r="A8" s="35" t="s">
        <v>16</v>
      </c>
      <c r="B8" s="35">
        <v>135000</v>
      </c>
      <c r="C8" s="35">
        <f t="shared" si="0"/>
        <v>5</v>
      </c>
      <c r="D8" s="35">
        <v>4.5</v>
      </c>
      <c r="E8" s="35">
        <v>4</v>
      </c>
      <c r="F8" s="35">
        <v>3</v>
      </c>
      <c r="G8" s="35">
        <v>3</v>
      </c>
      <c r="H8" s="35">
        <v>4</v>
      </c>
      <c r="I8" s="35">
        <v>3.5</v>
      </c>
      <c r="J8" s="35">
        <f t="shared" si="1"/>
        <v>4</v>
      </c>
      <c r="K8" s="35" t="s">
        <v>163</v>
      </c>
      <c r="L8" s="35">
        <f t="shared" si="2"/>
        <v>5</v>
      </c>
      <c r="M8" s="1" t="s">
        <v>163</v>
      </c>
      <c r="N8" s="35">
        <f t="shared" si="3"/>
        <v>5</v>
      </c>
      <c r="O8" s="35">
        <f t="shared" si="4"/>
        <v>4.3</v>
      </c>
      <c r="P8" s="35" t="str">
        <f t="shared" si="5"/>
        <v>Tier 1</v>
      </c>
    </row>
    <row r="9" spans="1:16" x14ac:dyDescent="0.25">
      <c r="A9" s="35" t="s">
        <v>17</v>
      </c>
      <c r="B9" s="35">
        <v>32000</v>
      </c>
      <c r="C9" s="35">
        <f t="shared" si="0"/>
        <v>1</v>
      </c>
      <c r="D9" s="35">
        <v>3.5</v>
      </c>
      <c r="E9" s="35">
        <v>5</v>
      </c>
      <c r="F9" s="35">
        <v>4</v>
      </c>
      <c r="G9" s="35">
        <v>3</v>
      </c>
      <c r="H9" s="35">
        <v>3</v>
      </c>
      <c r="I9" s="35">
        <v>4</v>
      </c>
      <c r="J9" s="35">
        <f t="shared" si="1"/>
        <v>3.2499999999999996</v>
      </c>
      <c r="K9" s="35" t="s">
        <v>163</v>
      </c>
      <c r="L9" s="35">
        <f t="shared" si="2"/>
        <v>5</v>
      </c>
      <c r="M9" s="35" t="s">
        <v>177</v>
      </c>
      <c r="N9" s="35">
        <f t="shared" si="3"/>
        <v>3</v>
      </c>
      <c r="O9" s="35">
        <f t="shared" si="4"/>
        <v>3.4749999999999996</v>
      </c>
      <c r="P9" s="35" t="str">
        <f t="shared" si="5"/>
        <v>Tier 3</v>
      </c>
    </row>
    <row r="10" spans="1:16" x14ac:dyDescent="0.25">
      <c r="A10" s="35" t="s">
        <v>18</v>
      </c>
      <c r="B10" s="35">
        <v>50000</v>
      </c>
      <c r="C10" s="35">
        <f t="shared" si="0"/>
        <v>2</v>
      </c>
      <c r="D10" s="35">
        <v>4</v>
      </c>
      <c r="E10" s="35">
        <v>4</v>
      </c>
      <c r="F10" s="35">
        <v>4.5</v>
      </c>
      <c r="G10" s="35">
        <v>3.5</v>
      </c>
      <c r="H10" s="35">
        <v>4</v>
      </c>
      <c r="I10" s="35">
        <v>4.5</v>
      </c>
      <c r="J10" s="35">
        <f t="shared" si="1"/>
        <v>3.6750000000000003</v>
      </c>
      <c r="K10" s="35" t="s">
        <v>177</v>
      </c>
      <c r="L10" s="35">
        <f t="shared" si="2"/>
        <v>3</v>
      </c>
      <c r="M10" s="35" t="s">
        <v>177</v>
      </c>
      <c r="N10" s="35">
        <f t="shared" si="3"/>
        <v>3</v>
      </c>
      <c r="O10" s="35">
        <f t="shared" si="4"/>
        <v>3.4725000000000001</v>
      </c>
      <c r="P10" s="35" t="str">
        <f t="shared" si="5"/>
        <v>Tier 3</v>
      </c>
    </row>
    <row r="11" spans="1:16" x14ac:dyDescent="0.25">
      <c r="A11" s="35" t="s">
        <v>19</v>
      </c>
      <c r="B11" s="35">
        <v>82000</v>
      </c>
      <c r="C11" s="35">
        <f t="shared" si="0"/>
        <v>4</v>
      </c>
      <c r="D11" s="35">
        <v>5</v>
      </c>
      <c r="E11" s="35">
        <v>4</v>
      </c>
      <c r="F11" s="35">
        <v>4.5</v>
      </c>
      <c r="G11" s="35">
        <v>3.5</v>
      </c>
      <c r="H11" s="35">
        <v>2</v>
      </c>
      <c r="I11" s="35">
        <v>4</v>
      </c>
      <c r="J11" s="35">
        <f t="shared" si="1"/>
        <v>4.0250000000000004</v>
      </c>
      <c r="K11" s="35" t="s">
        <v>177</v>
      </c>
      <c r="L11" s="35">
        <f t="shared" si="2"/>
        <v>3</v>
      </c>
      <c r="M11" s="1" t="s">
        <v>163</v>
      </c>
      <c r="N11" s="35">
        <f t="shared" si="3"/>
        <v>5</v>
      </c>
      <c r="O11" s="35">
        <f t="shared" si="4"/>
        <v>4.0175000000000001</v>
      </c>
      <c r="P11" s="35" t="str">
        <f t="shared" si="5"/>
        <v>Tier 2</v>
      </c>
    </row>
    <row r="12" spans="1:16" x14ac:dyDescent="0.25">
      <c r="A12" s="35" t="s">
        <v>20</v>
      </c>
      <c r="B12" s="35">
        <v>72000</v>
      </c>
      <c r="C12" s="35">
        <f t="shared" si="0"/>
        <v>4</v>
      </c>
      <c r="D12" s="35">
        <v>5</v>
      </c>
      <c r="E12" s="35">
        <v>5</v>
      </c>
      <c r="F12" s="35">
        <v>4.5</v>
      </c>
      <c r="G12" s="35">
        <v>4</v>
      </c>
      <c r="H12" s="35">
        <v>5</v>
      </c>
      <c r="I12" s="35">
        <v>5</v>
      </c>
      <c r="J12" s="35">
        <f t="shared" si="1"/>
        <v>4.625</v>
      </c>
      <c r="K12" s="35" t="s">
        <v>163</v>
      </c>
      <c r="L12" s="35">
        <f t="shared" si="2"/>
        <v>5</v>
      </c>
      <c r="M12" s="1" t="s">
        <v>163</v>
      </c>
      <c r="N12" s="35">
        <f t="shared" si="3"/>
        <v>5</v>
      </c>
      <c r="O12" s="35">
        <f t="shared" si="4"/>
        <v>4.7374999999999998</v>
      </c>
      <c r="P12" s="35" t="str">
        <f t="shared" si="5"/>
        <v>Tier 1</v>
      </c>
    </row>
    <row r="13" spans="1:16" x14ac:dyDescent="0.25">
      <c r="A13" s="35" t="s">
        <v>21</v>
      </c>
      <c r="B13" s="35">
        <v>67000</v>
      </c>
      <c r="C13" s="35">
        <f t="shared" si="0"/>
        <v>4</v>
      </c>
      <c r="H13" s="35">
        <v>1</v>
      </c>
      <c r="J13" s="35">
        <f t="shared" si="1"/>
        <v>0.9</v>
      </c>
      <c r="K13" s="35" t="s">
        <v>163</v>
      </c>
      <c r="L13" s="35">
        <f t="shared" si="2"/>
        <v>5</v>
      </c>
      <c r="M13" s="35" t="s">
        <v>177</v>
      </c>
      <c r="N13" s="35">
        <f t="shared" si="3"/>
        <v>3</v>
      </c>
      <c r="O13" s="35">
        <f t="shared" si="4"/>
        <v>1.8299999999999998</v>
      </c>
      <c r="P13" s="35" t="str">
        <f t="shared" si="5"/>
        <v>Tier 3</v>
      </c>
    </row>
    <row r="14" spans="1:16" x14ac:dyDescent="0.25">
      <c r="A14" s="35" t="s">
        <v>22</v>
      </c>
      <c r="B14" s="35">
        <v>52000</v>
      </c>
      <c r="C14" s="35">
        <f t="shared" si="0"/>
        <v>2</v>
      </c>
      <c r="D14" s="35">
        <v>4.5</v>
      </c>
      <c r="E14" s="35">
        <v>4.5</v>
      </c>
      <c r="F14" s="35">
        <v>3</v>
      </c>
      <c r="G14" s="35">
        <v>4</v>
      </c>
      <c r="H14" s="35">
        <v>3</v>
      </c>
      <c r="I14" s="35">
        <v>4</v>
      </c>
      <c r="J14" s="35">
        <f t="shared" si="1"/>
        <v>3.5249999999999999</v>
      </c>
      <c r="K14" s="35" t="s">
        <v>163</v>
      </c>
      <c r="L14" s="35">
        <f t="shared" si="2"/>
        <v>5</v>
      </c>
      <c r="M14" s="35" t="s">
        <v>177</v>
      </c>
      <c r="N14" s="35">
        <f t="shared" si="3"/>
        <v>3</v>
      </c>
      <c r="O14" s="35">
        <f t="shared" si="4"/>
        <v>3.6674999999999995</v>
      </c>
      <c r="P14" s="35" t="str">
        <f t="shared" si="5"/>
        <v>Tier 2</v>
      </c>
    </row>
    <row r="15" spans="1:16" x14ac:dyDescent="0.25">
      <c r="A15" s="35" t="s">
        <v>23</v>
      </c>
      <c r="B15" s="35">
        <v>168000</v>
      </c>
      <c r="C15" s="35">
        <f t="shared" si="0"/>
        <v>5</v>
      </c>
      <c r="D15" s="35">
        <v>5</v>
      </c>
      <c r="E15" s="35">
        <v>4.5</v>
      </c>
      <c r="F15" s="35">
        <v>5</v>
      </c>
      <c r="G15" s="35">
        <v>5</v>
      </c>
      <c r="H15" s="35">
        <v>3</v>
      </c>
      <c r="I15" s="35">
        <v>5</v>
      </c>
      <c r="J15" s="35">
        <f t="shared" si="1"/>
        <v>4.7249999999999996</v>
      </c>
      <c r="K15" s="35" t="s">
        <v>177</v>
      </c>
      <c r="L15" s="35">
        <f t="shared" si="2"/>
        <v>3</v>
      </c>
      <c r="M15" s="1" t="s">
        <v>163</v>
      </c>
      <c r="N15" s="35">
        <f t="shared" si="3"/>
        <v>5</v>
      </c>
      <c r="O15" s="35">
        <f t="shared" si="4"/>
        <v>4.5074999999999994</v>
      </c>
      <c r="P15" s="35" t="str">
        <f t="shared" si="5"/>
        <v>Tier 1</v>
      </c>
    </row>
    <row r="16" spans="1:16" x14ac:dyDescent="0.25">
      <c r="A16" s="35" t="s">
        <v>24</v>
      </c>
      <c r="B16" s="35">
        <v>87000</v>
      </c>
      <c r="C16" s="35">
        <f t="shared" si="0"/>
        <v>5</v>
      </c>
      <c r="H16" s="35">
        <v>2</v>
      </c>
      <c r="J16" s="35">
        <f t="shared" si="1"/>
        <v>1.2</v>
      </c>
      <c r="K16" s="35" t="s">
        <v>177</v>
      </c>
      <c r="L16" s="35">
        <f t="shared" si="2"/>
        <v>3</v>
      </c>
      <c r="M16" s="35" t="s">
        <v>177</v>
      </c>
      <c r="N16" s="35">
        <f t="shared" si="3"/>
        <v>3</v>
      </c>
      <c r="O16" s="35">
        <f t="shared" si="4"/>
        <v>1.74</v>
      </c>
      <c r="P16" s="35" t="str">
        <f t="shared" si="5"/>
        <v>Tier 3</v>
      </c>
    </row>
    <row r="17" spans="1:16" x14ac:dyDescent="0.25">
      <c r="A17" s="35" t="s">
        <v>25</v>
      </c>
      <c r="B17" s="35">
        <v>35000</v>
      </c>
      <c r="C17" s="35">
        <f t="shared" si="0"/>
        <v>1</v>
      </c>
      <c r="H17" s="35">
        <v>5</v>
      </c>
      <c r="J17" s="35">
        <f t="shared" si="1"/>
        <v>0.7</v>
      </c>
      <c r="K17" s="35" t="s">
        <v>163</v>
      </c>
      <c r="L17" s="35">
        <f t="shared" si="2"/>
        <v>5</v>
      </c>
      <c r="M17" s="35" t="s">
        <v>177</v>
      </c>
      <c r="N17" s="35">
        <f t="shared" si="3"/>
        <v>3</v>
      </c>
      <c r="O17" s="35">
        <f t="shared" si="4"/>
        <v>1.69</v>
      </c>
      <c r="P17" s="35" t="str">
        <f t="shared" si="5"/>
        <v>Tier 3</v>
      </c>
    </row>
    <row r="18" spans="1:16" x14ac:dyDescent="0.25">
      <c r="A18" s="35" t="s">
        <v>26</v>
      </c>
      <c r="B18" s="35">
        <v>95000</v>
      </c>
      <c r="C18" s="35">
        <f t="shared" si="0"/>
        <v>5</v>
      </c>
      <c r="H18" s="35">
        <v>1</v>
      </c>
      <c r="J18" s="35">
        <f t="shared" si="1"/>
        <v>1.1000000000000001</v>
      </c>
      <c r="K18" s="35" t="s">
        <v>177</v>
      </c>
      <c r="L18" s="35">
        <f t="shared" si="2"/>
        <v>3</v>
      </c>
      <c r="M18" s="35" t="s">
        <v>177</v>
      </c>
      <c r="N18" s="35">
        <f t="shared" si="3"/>
        <v>3</v>
      </c>
      <c r="O18" s="35">
        <f t="shared" si="4"/>
        <v>1.67</v>
      </c>
      <c r="P18" s="35" t="str">
        <f t="shared" si="5"/>
        <v>Tier 3</v>
      </c>
    </row>
    <row r="19" spans="1:16" x14ac:dyDescent="0.25">
      <c r="A19" s="35" t="s">
        <v>27</v>
      </c>
      <c r="B19" s="35">
        <v>54000</v>
      </c>
      <c r="C19" s="35">
        <f t="shared" si="0"/>
        <v>3</v>
      </c>
      <c r="H19" s="35">
        <v>1</v>
      </c>
      <c r="J19" s="35">
        <f t="shared" si="1"/>
        <v>0.70000000000000007</v>
      </c>
      <c r="K19" s="35" t="s">
        <v>177</v>
      </c>
      <c r="L19" s="35">
        <f t="shared" si="2"/>
        <v>3</v>
      </c>
      <c r="M19" s="35" t="s">
        <v>177</v>
      </c>
      <c r="N19" s="35">
        <f t="shared" si="3"/>
        <v>3</v>
      </c>
      <c r="O19" s="35">
        <f t="shared" si="4"/>
        <v>1.39</v>
      </c>
      <c r="P19" s="35" t="str">
        <f t="shared" si="5"/>
        <v>Tier 3</v>
      </c>
    </row>
    <row r="20" spans="1:16" ht="30" x14ac:dyDescent="0.25">
      <c r="A20" s="35" t="s">
        <v>28</v>
      </c>
      <c r="B20" s="35">
        <v>43000</v>
      </c>
      <c r="C20" s="35">
        <f t="shared" si="0"/>
        <v>1</v>
      </c>
      <c r="H20" s="35">
        <v>2</v>
      </c>
      <c r="J20" s="35">
        <f t="shared" si="1"/>
        <v>0.4</v>
      </c>
      <c r="K20" s="35" t="s">
        <v>177</v>
      </c>
      <c r="L20" s="35">
        <f t="shared" si="2"/>
        <v>3</v>
      </c>
      <c r="M20" s="35" t="s">
        <v>177</v>
      </c>
      <c r="N20" s="35">
        <f t="shared" si="3"/>
        <v>3</v>
      </c>
      <c r="O20" s="35">
        <f t="shared" si="4"/>
        <v>1.18</v>
      </c>
      <c r="P20" s="35" t="str">
        <f t="shared" si="5"/>
        <v>Tier 3</v>
      </c>
    </row>
    <row r="21" spans="1:16" x14ac:dyDescent="0.25">
      <c r="A21" s="35" t="s">
        <v>29</v>
      </c>
      <c r="B21" s="35">
        <v>23000</v>
      </c>
      <c r="C21" s="35">
        <f t="shared" si="0"/>
        <v>1</v>
      </c>
      <c r="H21" s="35">
        <v>1</v>
      </c>
      <c r="J21" s="35">
        <f t="shared" si="1"/>
        <v>0.30000000000000004</v>
      </c>
      <c r="K21" s="35" t="s">
        <v>177</v>
      </c>
      <c r="L21" s="35">
        <f t="shared" si="2"/>
        <v>3</v>
      </c>
      <c r="M21" s="35" t="s">
        <v>177</v>
      </c>
      <c r="N21" s="35">
        <f t="shared" si="3"/>
        <v>3</v>
      </c>
      <c r="O21" s="35">
        <f t="shared" si="4"/>
        <v>1.1099999999999999</v>
      </c>
      <c r="P21" s="35" t="str">
        <f t="shared" si="5"/>
        <v>Tier 3</v>
      </c>
    </row>
    <row r="22" spans="1:16" x14ac:dyDescent="0.25">
      <c r="A22" s="35" t="s">
        <v>30</v>
      </c>
      <c r="B22" s="35">
        <v>20000</v>
      </c>
      <c r="C22" s="35">
        <f t="shared" si="0"/>
        <v>1</v>
      </c>
      <c r="H22" s="35">
        <v>1</v>
      </c>
      <c r="J22" s="35">
        <f t="shared" si="1"/>
        <v>0.30000000000000004</v>
      </c>
      <c r="K22" s="35" t="s">
        <v>177</v>
      </c>
      <c r="L22" s="35">
        <f t="shared" si="2"/>
        <v>3</v>
      </c>
      <c r="M22" s="35" t="s">
        <v>177</v>
      </c>
      <c r="N22" s="35">
        <f t="shared" si="3"/>
        <v>3</v>
      </c>
      <c r="O22" s="35">
        <f t="shared" si="4"/>
        <v>1.1099999999999999</v>
      </c>
      <c r="P22" s="35" t="str">
        <f t="shared" si="5"/>
        <v>Tier 3</v>
      </c>
    </row>
    <row r="23" spans="1:16" x14ac:dyDescent="0.25">
      <c r="A23" s="35" t="s">
        <v>31</v>
      </c>
      <c r="B23" s="35">
        <v>60000</v>
      </c>
      <c r="C23" s="35">
        <f t="shared" si="0"/>
        <v>3</v>
      </c>
      <c r="H23" s="35">
        <v>4</v>
      </c>
      <c r="J23" s="35">
        <f t="shared" si="1"/>
        <v>1</v>
      </c>
      <c r="K23" s="35" t="s">
        <v>177</v>
      </c>
      <c r="L23" s="35">
        <f t="shared" si="2"/>
        <v>3</v>
      </c>
      <c r="M23" s="35" t="s">
        <v>177</v>
      </c>
      <c r="N23" s="35">
        <f t="shared" si="3"/>
        <v>3</v>
      </c>
      <c r="O23" s="35">
        <f t="shared" si="4"/>
        <v>1.5999999999999999</v>
      </c>
      <c r="P23" s="35" t="str">
        <f t="shared" si="5"/>
        <v>Tier 3</v>
      </c>
    </row>
    <row r="24" spans="1:16" x14ac:dyDescent="0.25">
      <c r="A24" s="35" t="s">
        <v>32</v>
      </c>
      <c r="B24" s="35">
        <v>100000</v>
      </c>
      <c r="C24" s="35">
        <f t="shared" si="0"/>
        <v>5</v>
      </c>
      <c r="H24" s="35">
        <v>4</v>
      </c>
      <c r="J24" s="35">
        <f t="shared" si="1"/>
        <v>1.4</v>
      </c>
      <c r="K24" s="35" t="s">
        <v>177</v>
      </c>
      <c r="L24" s="35">
        <f t="shared" si="2"/>
        <v>3</v>
      </c>
      <c r="M24" s="35" t="s">
        <v>177</v>
      </c>
      <c r="N24" s="35">
        <f t="shared" si="3"/>
        <v>3</v>
      </c>
      <c r="O24" s="35">
        <f t="shared" si="4"/>
        <v>1.8799999999999997</v>
      </c>
      <c r="P24" s="35" t="str">
        <f t="shared" si="5"/>
        <v>Tier 3</v>
      </c>
    </row>
    <row r="25" spans="1:16" x14ac:dyDescent="0.25">
      <c r="A25" s="35" t="s">
        <v>33</v>
      </c>
      <c r="B25" s="35">
        <v>54000</v>
      </c>
      <c r="C25" s="35">
        <f t="shared" si="0"/>
        <v>3</v>
      </c>
      <c r="H25" s="35">
        <v>2</v>
      </c>
      <c r="J25" s="35">
        <f t="shared" si="1"/>
        <v>0.8</v>
      </c>
      <c r="K25" s="35" t="s">
        <v>177</v>
      </c>
      <c r="L25" s="35">
        <f t="shared" si="2"/>
        <v>3</v>
      </c>
      <c r="M25" s="35" t="s">
        <v>177</v>
      </c>
      <c r="N25" s="35">
        <f t="shared" si="3"/>
        <v>3</v>
      </c>
      <c r="O25" s="35">
        <f t="shared" si="4"/>
        <v>1.4599999999999997</v>
      </c>
      <c r="P25" s="35" t="str">
        <f t="shared" si="5"/>
        <v>Tier 3</v>
      </c>
    </row>
    <row r="26" spans="1:16" x14ac:dyDescent="0.25">
      <c r="A26" s="35" t="s">
        <v>34</v>
      </c>
      <c r="B26" s="35">
        <v>47000</v>
      </c>
      <c r="C26" s="35">
        <f t="shared" si="0"/>
        <v>2</v>
      </c>
      <c r="H26" s="35">
        <v>3</v>
      </c>
      <c r="J26" s="35">
        <f t="shared" si="1"/>
        <v>0.70000000000000007</v>
      </c>
      <c r="K26" s="35" t="s">
        <v>163</v>
      </c>
      <c r="L26" s="35">
        <f t="shared" si="2"/>
        <v>5</v>
      </c>
      <c r="M26" s="1" t="s">
        <v>163</v>
      </c>
      <c r="N26" s="35">
        <f t="shared" si="3"/>
        <v>5</v>
      </c>
      <c r="O26" s="35">
        <f t="shared" si="4"/>
        <v>1.99</v>
      </c>
      <c r="P26" s="35" t="str">
        <f t="shared" si="5"/>
        <v>Tier 3</v>
      </c>
    </row>
    <row r="27" spans="1:16" x14ac:dyDescent="0.25">
      <c r="A27" s="35" t="s">
        <v>35</v>
      </c>
      <c r="B27" s="35">
        <v>45000</v>
      </c>
      <c r="C27" s="35">
        <f t="shared" si="0"/>
        <v>2</v>
      </c>
      <c r="H27" s="35">
        <v>5</v>
      </c>
      <c r="J27" s="35">
        <f t="shared" si="1"/>
        <v>0.9</v>
      </c>
      <c r="K27" s="35" t="s">
        <v>177</v>
      </c>
      <c r="L27" s="35">
        <f t="shared" si="2"/>
        <v>3</v>
      </c>
      <c r="M27" s="35" t="s">
        <v>177</v>
      </c>
      <c r="N27" s="35">
        <f t="shared" si="3"/>
        <v>3</v>
      </c>
      <c r="O27" s="35">
        <f t="shared" si="4"/>
        <v>1.53</v>
      </c>
      <c r="P27" s="35" t="str">
        <f t="shared" si="5"/>
        <v>Tier 3</v>
      </c>
    </row>
    <row r="28" spans="1:16" x14ac:dyDescent="0.25">
      <c r="A28" s="35" t="s">
        <v>36</v>
      </c>
      <c r="B28" s="35">
        <v>48000</v>
      </c>
      <c r="C28" s="35">
        <f t="shared" si="0"/>
        <v>2</v>
      </c>
      <c r="H28" s="35">
        <v>3</v>
      </c>
      <c r="J28" s="35">
        <f t="shared" si="1"/>
        <v>0.70000000000000007</v>
      </c>
      <c r="K28" s="35" t="s">
        <v>177</v>
      </c>
      <c r="L28" s="35">
        <f t="shared" si="2"/>
        <v>3</v>
      </c>
      <c r="M28" s="35" t="s">
        <v>177</v>
      </c>
      <c r="N28" s="35">
        <f t="shared" si="3"/>
        <v>3</v>
      </c>
      <c r="O28" s="35">
        <f t="shared" si="4"/>
        <v>1.39</v>
      </c>
      <c r="P28" s="35" t="str">
        <f t="shared" si="5"/>
        <v>Tier 3</v>
      </c>
    </row>
  </sheetData>
  <conditionalFormatting sqref="P1:P1048576">
    <cfRule type="containsText" dxfId="2" priority="1" operator="containsText" text="Tier 3">
      <formula>NOT(ISERROR(SEARCH("Tier 3",P1)))</formula>
    </cfRule>
    <cfRule type="containsText" dxfId="1" priority="2" operator="containsText" text="Tier 2">
      <formula>NOT(ISERROR(SEARCH("Tier 2",P1)))</formula>
    </cfRule>
    <cfRule type="containsText" dxfId="0" priority="3" operator="containsText" text="Tier 1">
      <formula>NOT(ISERROR(SEARCH("Tier 1",P1)))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0D9E-5131-40D7-AAAA-863D11DA16BA}">
  <dimension ref="A1:Q144"/>
  <sheetViews>
    <sheetView workbookViewId="0">
      <selection activeCell="S137" sqref="S137"/>
    </sheetView>
  </sheetViews>
  <sheetFormatPr defaultRowHeight="15" x14ac:dyDescent="0.25"/>
  <cols>
    <col min="1" max="7" width="16.5703125" customWidth="1"/>
    <col min="8" max="9" width="12.140625" customWidth="1"/>
    <col min="10" max="17" width="7.5703125" customWidth="1"/>
  </cols>
  <sheetData>
    <row r="1" spans="1:17" x14ac:dyDescent="0.25">
      <c r="A1" s="37" t="s">
        <v>331</v>
      </c>
      <c r="B1" s="38" t="s">
        <v>332</v>
      </c>
      <c r="C1" s="37" t="s">
        <v>6</v>
      </c>
      <c r="D1" s="38" t="s">
        <v>333</v>
      </c>
      <c r="E1" s="37" t="s">
        <v>334</v>
      </c>
      <c r="F1" s="37" t="s">
        <v>335</v>
      </c>
      <c r="G1" s="37" t="s">
        <v>336</v>
      </c>
      <c r="H1" s="38" t="s">
        <v>337</v>
      </c>
      <c r="I1" s="38" t="s">
        <v>338</v>
      </c>
      <c r="J1" s="38" t="s">
        <v>339</v>
      </c>
      <c r="K1" s="38" t="s">
        <v>340</v>
      </c>
      <c r="L1" s="38" t="s">
        <v>341</v>
      </c>
      <c r="M1" s="38" t="s">
        <v>342</v>
      </c>
      <c r="N1" s="38" t="s">
        <v>343</v>
      </c>
      <c r="O1" s="38" t="s">
        <v>344</v>
      </c>
      <c r="P1" s="38" t="s">
        <v>345</v>
      </c>
      <c r="Q1" s="38" t="s">
        <v>346</v>
      </c>
    </row>
    <row r="2" spans="1:17" x14ac:dyDescent="0.25">
      <c r="A2" t="s">
        <v>520</v>
      </c>
      <c r="B2" s="39" t="s">
        <v>527</v>
      </c>
      <c r="C2" t="s">
        <v>528</v>
      </c>
      <c r="D2" s="39" t="s">
        <v>529</v>
      </c>
      <c r="E2" t="s">
        <v>530</v>
      </c>
      <c r="F2" t="s">
        <v>352</v>
      </c>
      <c r="G2" t="s">
        <v>353</v>
      </c>
      <c r="H2" s="39">
        <v>3</v>
      </c>
      <c r="I2" s="39" t="s">
        <v>354</v>
      </c>
      <c r="J2" s="39" t="s">
        <v>355</v>
      </c>
      <c r="K2" s="39" t="s">
        <v>355</v>
      </c>
      <c r="L2" s="39" t="s">
        <v>355</v>
      </c>
      <c r="M2" s="39" t="s">
        <v>355</v>
      </c>
      <c r="N2" s="39" t="s">
        <v>356</v>
      </c>
      <c r="O2" s="39" t="s">
        <v>362</v>
      </c>
      <c r="P2" s="39" t="s">
        <v>357</v>
      </c>
      <c r="Q2" s="39">
        <v>1</v>
      </c>
    </row>
    <row r="3" spans="1:17" x14ac:dyDescent="0.25">
      <c r="A3" t="s">
        <v>520</v>
      </c>
      <c r="B3" s="39" t="s">
        <v>527</v>
      </c>
      <c r="C3" t="s">
        <v>528</v>
      </c>
      <c r="D3" s="39" t="s">
        <v>531</v>
      </c>
      <c r="E3" t="s">
        <v>532</v>
      </c>
      <c r="F3" t="s">
        <v>397</v>
      </c>
      <c r="G3" t="s">
        <v>398</v>
      </c>
      <c r="H3" s="39">
        <v>6</v>
      </c>
      <c r="I3" s="39" t="s">
        <v>354</v>
      </c>
      <c r="J3" s="39" t="s">
        <v>356</v>
      </c>
      <c r="K3" s="39" t="s">
        <v>362</v>
      </c>
      <c r="L3" s="39" t="s">
        <v>356</v>
      </c>
      <c r="M3" s="39" t="s">
        <v>362</v>
      </c>
      <c r="N3" s="39" t="s">
        <v>362</v>
      </c>
      <c r="O3" s="39" t="s">
        <v>362</v>
      </c>
      <c r="P3" s="39" t="s">
        <v>362</v>
      </c>
      <c r="Q3" s="39">
        <v>5</v>
      </c>
    </row>
    <row r="4" spans="1:17" x14ac:dyDescent="0.25">
      <c r="A4" t="s">
        <v>520</v>
      </c>
      <c r="B4" s="39" t="s">
        <v>527</v>
      </c>
      <c r="C4" t="s">
        <v>528</v>
      </c>
      <c r="D4" s="39" t="s">
        <v>533</v>
      </c>
      <c r="E4" t="s">
        <v>534</v>
      </c>
      <c r="F4" t="s">
        <v>352</v>
      </c>
      <c r="G4" t="s">
        <v>353</v>
      </c>
      <c r="H4" s="39">
        <v>2</v>
      </c>
      <c r="I4" s="39" t="s">
        <v>354</v>
      </c>
      <c r="J4" s="39" t="s">
        <v>355</v>
      </c>
      <c r="K4" s="39" t="s">
        <v>355</v>
      </c>
      <c r="L4" s="39" t="s">
        <v>355</v>
      </c>
      <c r="M4" s="39" t="s">
        <v>355</v>
      </c>
      <c r="N4" s="39" t="s">
        <v>355</v>
      </c>
      <c r="O4" s="39" t="s">
        <v>356</v>
      </c>
      <c r="P4" s="39" t="s">
        <v>357</v>
      </c>
      <c r="Q4" s="39">
        <v>0</v>
      </c>
    </row>
    <row r="5" spans="1:17" x14ac:dyDescent="0.25">
      <c r="A5" t="s">
        <v>520</v>
      </c>
      <c r="B5" s="39" t="s">
        <v>527</v>
      </c>
      <c r="C5" t="s">
        <v>528</v>
      </c>
      <c r="D5" s="39" t="s">
        <v>535</v>
      </c>
      <c r="E5" t="s">
        <v>536</v>
      </c>
      <c r="F5" t="s">
        <v>352</v>
      </c>
      <c r="G5" t="s">
        <v>353</v>
      </c>
      <c r="H5" s="39">
        <v>2</v>
      </c>
      <c r="I5" s="39" t="s">
        <v>354</v>
      </c>
      <c r="J5" s="39" t="s">
        <v>355</v>
      </c>
      <c r="K5" s="39" t="s">
        <v>356</v>
      </c>
      <c r="L5" s="39" t="s">
        <v>356</v>
      </c>
      <c r="M5" s="39" t="s">
        <v>357</v>
      </c>
      <c r="N5" s="39" t="s">
        <v>355</v>
      </c>
      <c r="O5" s="39" t="s">
        <v>356</v>
      </c>
      <c r="P5" s="39" t="s">
        <v>357</v>
      </c>
      <c r="Q5" s="39">
        <v>0</v>
      </c>
    </row>
    <row r="6" spans="1:17" x14ac:dyDescent="0.25">
      <c r="A6" t="s">
        <v>520</v>
      </c>
      <c r="B6" s="39" t="s">
        <v>527</v>
      </c>
      <c r="C6" t="s">
        <v>528</v>
      </c>
      <c r="D6" s="39" t="s">
        <v>537</v>
      </c>
      <c r="E6" t="s">
        <v>538</v>
      </c>
      <c r="F6" t="s">
        <v>352</v>
      </c>
      <c r="G6" t="s">
        <v>353</v>
      </c>
      <c r="H6" s="39">
        <v>2</v>
      </c>
      <c r="I6" s="39" t="s">
        <v>354</v>
      </c>
      <c r="J6" s="39" t="s">
        <v>355</v>
      </c>
      <c r="K6" s="39" t="s">
        <v>355</v>
      </c>
      <c r="L6" s="39" t="s">
        <v>355</v>
      </c>
      <c r="M6" s="39" t="s">
        <v>355</v>
      </c>
      <c r="N6" s="39" t="s">
        <v>355</v>
      </c>
      <c r="O6" s="39" t="s">
        <v>356</v>
      </c>
      <c r="P6" s="39" t="s">
        <v>357</v>
      </c>
      <c r="Q6" s="39">
        <v>0</v>
      </c>
    </row>
    <row r="7" spans="1:17" x14ac:dyDescent="0.25">
      <c r="A7" t="s">
        <v>520</v>
      </c>
      <c r="B7" s="39" t="s">
        <v>527</v>
      </c>
      <c r="C7" t="s">
        <v>528</v>
      </c>
      <c r="D7" s="39" t="s">
        <v>539</v>
      </c>
      <c r="E7" t="s">
        <v>540</v>
      </c>
      <c r="F7" t="s">
        <v>352</v>
      </c>
      <c r="G7" t="s">
        <v>353</v>
      </c>
      <c r="H7" s="39">
        <v>2</v>
      </c>
      <c r="I7" s="39" t="s">
        <v>354</v>
      </c>
      <c r="J7" s="39" t="s">
        <v>355</v>
      </c>
      <c r="K7" s="39" t="s">
        <v>355</v>
      </c>
      <c r="L7" s="39" t="s">
        <v>355</v>
      </c>
      <c r="M7" s="39" t="s">
        <v>355</v>
      </c>
      <c r="N7" s="39" t="s">
        <v>355</v>
      </c>
      <c r="O7" s="39" t="s">
        <v>356</v>
      </c>
      <c r="P7" s="39" t="s">
        <v>357</v>
      </c>
      <c r="Q7" s="39">
        <v>0</v>
      </c>
    </row>
    <row r="8" spans="1:17" x14ac:dyDescent="0.25">
      <c r="A8" t="s">
        <v>520</v>
      </c>
      <c r="B8" s="39" t="s">
        <v>527</v>
      </c>
      <c r="C8" t="s">
        <v>528</v>
      </c>
      <c r="D8" s="39" t="s">
        <v>541</v>
      </c>
      <c r="E8" t="s">
        <v>542</v>
      </c>
      <c r="F8" t="s">
        <v>352</v>
      </c>
      <c r="G8" t="s">
        <v>353</v>
      </c>
      <c r="H8" s="39">
        <v>2</v>
      </c>
      <c r="I8" s="39" t="s">
        <v>354</v>
      </c>
      <c r="J8" s="39" t="s">
        <v>355</v>
      </c>
      <c r="K8" s="39" t="s">
        <v>355</v>
      </c>
      <c r="L8" s="39" t="s">
        <v>355</v>
      </c>
      <c r="M8" s="39" t="s">
        <v>355</v>
      </c>
      <c r="N8" s="39" t="s">
        <v>355</v>
      </c>
      <c r="O8" s="39" t="s">
        <v>356</v>
      </c>
      <c r="P8" s="39" t="s">
        <v>357</v>
      </c>
      <c r="Q8" s="39">
        <v>0</v>
      </c>
    </row>
    <row r="9" spans="1:17" x14ac:dyDescent="0.25">
      <c r="A9" t="s">
        <v>520</v>
      </c>
      <c r="B9" s="39" t="s">
        <v>527</v>
      </c>
      <c r="C9" t="s">
        <v>528</v>
      </c>
      <c r="D9" s="39" t="s">
        <v>543</v>
      </c>
      <c r="E9" t="s">
        <v>544</v>
      </c>
      <c r="F9" t="s">
        <v>360</v>
      </c>
      <c r="G9" t="s">
        <v>353</v>
      </c>
      <c r="H9" s="39">
        <v>3</v>
      </c>
      <c r="I9" s="39" t="s">
        <v>354</v>
      </c>
      <c r="J9" s="39" t="s">
        <v>355</v>
      </c>
      <c r="K9" s="39" t="s">
        <v>355</v>
      </c>
      <c r="L9" s="39" t="s">
        <v>355</v>
      </c>
      <c r="M9" s="39" t="s">
        <v>355</v>
      </c>
      <c r="N9" s="39" t="s">
        <v>356</v>
      </c>
      <c r="O9" s="39" t="s">
        <v>357</v>
      </c>
      <c r="P9" s="39" t="s">
        <v>356</v>
      </c>
      <c r="Q9" s="39">
        <v>1</v>
      </c>
    </row>
    <row r="10" spans="1:17" x14ac:dyDescent="0.25">
      <c r="A10" t="s">
        <v>520</v>
      </c>
      <c r="B10" s="39" t="s">
        <v>527</v>
      </c>
      <c r="C10" t="s">
        <v>528</v>
      </c>
      <c r="D10" s="39" t="s">
        <v>545</v>
      </c>
      <c r="E10" t="s">
        <v>546</v>
      </c>
      <c r="F10" t="s">
        <v>352</v>
      </c>
      <c r="G10" t="s">
        <v>353</v>
      </c>
      <c r="H10" s="39">
        <v>2</v>
      </c>
      <c r="I10" s="39" t="s">
        <v>354</v>
      </c>
      <c r="J10" s="39" t="s">
        <v>355</v>
      </c>
      <c r="K10" s="39" t="s">
        <v>355</v>
      </c>
      <c r="L10" s="39" t="s">
        <v>355</v>
      </c>
      <c r="M10" s="39" t="s">
        <v>355</v>
      </c>
      <c r="N10" s="39" t="s">
        <v>355</v>
      </c>
      <c r="O10" s="39" t="s">
        <v>356</v>
      </c>
      <c r="P10" s="39" t="s">
        <v>357</v>
      </c>
      <c r="Q10" s="39">
        <v>0</v>
      </c>
    </row>
    <row r="11" spans="1:17" x14ac:dyDescent="0.25">
      <c r="A11" t="s">
        <v>520</v>
      </c>
      <c r="B11" s="39" t="s">
        <v>527</v>
      </c>
      <c r="C11" t="s">
        <v>528</v>
      </c>
      <c r="D11" s="39" t="s">
        <v>547</v>
      </c>
      <c r="E11" t="s">
        <v>548</v>
      </c>
      <c r="F11" t="s">
        <v>352</v>
      </c>
      <c r="G11" t="s">
        <v>353</v>
      </c>
      <c r="H11" s="39">
        <v>2</v>
      </c>
      <c r="I11" s="39" t="s">
        <v>354</v>
      </c>
      <c r="J11" s="39" t="s">
        <v>355</v>
      </c>
      <c r="K11" s="39" t="s">
        <v>355</v>
      </c>
      <c r="L11" s="39" t="s">
        <v>355</v>
      </c>
      <c r="M11" s="39" t="s">
        <v>355</v>
      </c>
      <c r="N11" s="39" t="s">
        <v>355</v>
      </c>
      <c r="O11" s="39" t="s">
        <v>356</v>
      </c>
      <c r="P11" s="39" t="s">
        <v>357</v>
      </c>
      <c r="Q11" s="39">
        <v>0</v>
      </c>
    </row>
    <row r="12" spans="1:17" x14ac:dyDescent="0.25">
      <c r="A12" t="s">
        <v>490</v>
      </c>
      <c r="B12" s="39" t="s">
        <v>583</v>
      </c>
      <c r="C12" t="s">
        <v>584</v>
      </c>
      <c r="D12" s="39" t="s">
        <v>585</v>
      </c>
      <c r="E12" t="s">
        <v>586</v>
      </c>
      <c r="F12" t="s">
        <v>360</v>
      </c>
      <c r="G12" t="s">
        <v>353</v>
      </c>
      <c r="H12" s="39">
        <v>6</v>
      </c>
      <c r="I12" s="39" t="s">
        <v>354</v>
      </c>
      <c r="J12" s="39" t="s">
        <v>356</v>
      </c>
      <c r="K12" s="39" t="s">
        <v>357</v>
      </c>
      <c r="L12" s="39" t="s">
        <v>357</v>
      </c>
      <c r="M12" s="39" t="s">
        <v>356</v>
      </c>
      <c r="N12" s="39" t="s">
        <v>362</v>
      </c>
      <c r="O12" s="39" t="s">
        <v>357</v>
      </c>
      <c r="P12" s="39" t="s">
        <v>356</v>
      </c>
      <c r="Q12" s="39">
        <v>3</v>
      </c>
    </row>
    <row r="13" spans="1:17" x14ac:dyDescent="0.25">
      <c r="A13" t="s">
        <v>490</v>
      </c>
      <c r="B13" s="39" t="s">
        <v>583</v>
      </c>
      <c r="C13" t="s">
        <v>584</v>
      </c>
      <c r="D13" s="39" t="s">
        <v>587</v>
      </c>
      <c r="E13" t="s">
        <v>588</v>
      </c>
      <c r="F13" t="s">
        <v>352</v>
      </c>
      <c r="G13" t="s">
        <v>353</v>
      </c>
      <c r="H13" s="39">
        <v>2</v>
      </c>
      <c r="I13" s="39" t="s">
        <v>354</v>
      </c>
      <c r="J13" s="39" t="s">
        <v>355</v>
      </c>
      <c r="K13" s="39" t="s">
        <v>355</v>
      </c>
      <c r="L13" s="39" t="s">
        <v>355</v>
      </c>
      <c r="M13" s="39" t="s">
        <v>355</v>
      </c>
      <c r="N13" s="39" t="s">
        <v>355</v>
      </c>
      <c r="O13" s="39" t="s">
        <v>356</v>
      </c>
      <c r="P13" s="39" t="s">
        <v>357</v>
      </c>
      <c r="Q13" s="39">
        <v>0</v>
      </c>
    </row>
    <row r="14" spans="1:17" x14ac:dyDescent="0.25">
      <c r="A14" t="s">
        <v>490</v>
      </c>
      <c r="B14" s="39" t="s">
        <v>583</v>
      </c>
      <c r="C14" t="s">
        <v>584</v>
      </c>
      <c r="D14" s="39" t="s">
        <v>589</v>
      </c>
      <c r="E14" t="s">
        <v>590</v>
      </c>
      <c r="F14" t="s">
        <v>360</v>
      </c>
      <c r="G14" t="s">
        <v>353</v>
      </c>
      <c r="H14" s="39">
        <v>3</v>
      </c>
      <c r="I14" s="39" t="s">
        <v>354</v>
      </c>
      <c r="J14" s="39" t="s">
        <v>355</v>
      </c>
      <c r="K14" s="39" t="s">
        <v>355</v>
      </c>
      <c r="L14" s="39" t="s">
        <v>355</v>
      </c>
      <c r="M14" s="39" t="s">
        <v>355</v>
      </c>
      <c r="N14" s="39" t="s">
        <v>356</v>
      </c>
      <c r="O14" s="39" t="s">
        <v>357</v>
      </c>
      <c r="P14" s="39" t="s">
        <v>356</v>
      </c>
      <c r="Q14" s="39">
        <v>1</v>
      </c>
    </row>
    <row r="15" spans="1:17" x14ac:dyDescent="0.25">
      <c r="A15" t="s">
        <v>490</v>
      </c>
      <c r="B15" s="39" t="s">
        <v>583</v>
      </c>
      <c r="C15" t="s">
        <v>584</v>
      </c>
      <c r="D15" s="39" t="s">
        <v>591</v>
      </c>
      <c r="E15" t="s">
        <v>592</v>
      </c>
      <c r="F15" t="s">
        <v>360</v>
      </c>
      <c r="G15" t="s">
        <v>353</v>
      </c>
      <c r="H15" s="39">
        <v>3</v>
      </c>
      <c r="I15" s="39" t="s">
        <v>354</v>
      </c>
      <c r="J15" s="39" t="s">
        <v>355</v>
      </c>
      <c r="K15" s="39" t="s">
        <v>355</v>
      </c>
      <c r="L15" s="39" t="s">
        <v>355</v>
      </c>
      <c r="M15" s="39" t="s">
        <v>355</v>
      </c>
      <c r="N15" s="39" t="s">
        <v>356</v>
      </c>
      <c r="O15" s="39" t="s">
        <v>357</v>
      </c>
      <c r="P15" s="39" t="s">
        <v>356</v>
      </c>
      <c r="Q15" s="39">
        <v>1</v>
      </c>
    </row>
    <row r="16" spans="1:17" x14ac:dyDescent="0.25">
      <c r="A16" t="s">
        <v>490</v>
      </c>
      <c r="B16" s="39" t="s">
        <v>583</v>
      </c>
      <c r="C16" t="s">
        <v>584</v>
      </c>
      <c r="D16" s="39" t="s">
        <v>593</v>
      </c>
      <c r="E16" t="s">
        <v>594</v>
      </c>
      <c r="F16" t="s">
        <v>360</v>
      </c>
      <c r="G16" t="s">
        <v>353</v>
      </c>
      <c r="H16" s="39">
        <v>1</v>
      </c>
      <c r="I16" s="39" t="s">
        <v>354</v>
      </c>
      <c r="J16" s="39" t="s">
        <v>356</v>
      </c>
      <c r="K16" s="39" t="s">
        <v>362</v>
      </c>
      <c r="L16" s="39" t="s">
        <v>357</v>
      </c>
      <c r="M16" s="39" t="s">
        <v>355</v>
      </c>
      <c r="N16" s="39" t="s">
        <v>355</v>
      </c>
      <c r="O16" s="39" t="s">
        <v>355</v>
      </c>
      <c r="P16" s="39" t="s">
        <v>356</v>
      </c>
      <c r="Q16" s="39">
        <v>0</v>
      </c>
    </row>
    <row r="17" spans="1:17" x14ac:dyDescent="0.25">
      <c r="A17" t="s">
        <v>490</v>
      </c>
      <c r="B17" s="39" t="s">
        <v>583</v>
      </c>
      <c r="C17" t="s">
        <v>584</v>
      </c>
      <c r="D17" s="39" t="s">
        <v>595</v>
      </c>
      <c r="E17" t="s">
        <v>596</v>
      </c>
      <c r="F17" t="s">
        <v>352</v>
      </c>
      <c r="G17" t="s">
        <v>353</v>
      </c>
      <c r="H17" s="39">
        <v>2</v>
      </c>
      <c r="I17" s="39" t="s">
        <v>354</v>
      </c>
      <c r="J17" s="39" t="s">
        <v>355</v>
      </c>
      <c r="K17" s="39" t="s">
        <v>355</v>
      </c>
      <c r="L17" s="39" t="s">
        <v>355</v>
      </c>
      <c r="M17" s="39" t="s">
        <v>355</v>
      </c>
      <c r="N17" s="39" t="s">
        <v>355</v>
      </c>
      <c r="O17" s="39" t="s">
        <v>356</v>
      </c>
      <c r="P17" s="39" t="s">
        <v>357</v>
      </c>
      <c r="Q17" s="39">
        <v>0</v>
      </c>
    </row>
    <row r="18" spans="1:17" x14ac:dyDescent="0.25">
      <c r="A18" t="s">
        <v>490</v>
      </c>
      <c r="B18" s="39" t="s">
        <v>583</v>
      </c>
      <c r="C18" t="s">
        <v>584</v>
      </c>
      <c r="D18" s="39" t="s">
        <v>597</v>
      </c>
      <c r="E18" t="s">
        <v>598</v>
      </c>
      <c r="F18" t="s">
        <v>360</v>
      </c>
      <c r="G18" t="s">
        <v>353</v>
      </c>
      <c r="H18" s="39">
        <v>3</v>
      </c>
      <c r="I18" s="39" t="s">
        <v>354</v>
      </c>
      <c r="J18" s="39" t="s">
        <v>355</v>
      </c>
      <c r="K18" s="39" t="s">
        <v>355</v>
      </c>
      <c r="L18" s="39" t="s">
        <v>355</v>
      </c>
      <c r="M18" s="39" t="s">
        <v>355</v>
      </c>
      <c r="N18" s="39" t="s">
        <v>356</v>
      </c>
      <c r="O18" s="39" t="s">
        <v>357</v>
      </c>
      <c r="P18" s="39" t="s">
        <v>356</v>
      </c>
      <c r="Q18" s="39">
        <v>1</v>
      </c>
    </row>
    <row r="19" spans="1:17" x14ac:dyDescent="0.25">
      <c r="A19" t="s">
        <v>490</v>
      </c>
      <c r="B19" s="39" t="s">
        <v>583</v>
      </c>
      <c r="C19" t="s">
        <v>584</v>
      </c>
      <c r="D19" s="39" t="s">
        <v>599</v>
      </c>
      <c r="E19" t="s">
        <v>600</v>
      </c>
      <c r="F19" t="s">
        <v>352</v>
      </c>
      <c r="G19" t="s">
        <v>353</v>
      </c>
      <c r="H19" s="39">
        <v>2</v>
      </c>
      <c r="I19" s="39" t="s">
        <v>354</v>
      </c>
      <c r="J19" s="39" t="s">
        <v>355</v>
      </c>
      <c r="K19" s="39" t="s">
        <v>355</v>
      </c>
      <c r="L19" s="39" t="s">
        <v>355</v>
      </c>
      <c r="M19" s="39" t="s">
        <v>355</v>
      </c>
      <c r="N19" s="39" t="s">
        <v>355</v>
      </c>
      <c r="O19" s="39" t="s">
        <v>356</v>
      </c>
      <c r="P19" s="39" t="s">
        <v>357</v>
      </c>
      <c r="Q19" s="39">
        <v>0</v>
      </c>
    </row>
    <row r="20" spans="1:17" x14ac:dyDescent="0.25">
      <c r="A20" t="s">
        <v>629</v>
      </c>
      <c r="B20" s="39" t="s">
        <v>630</v>
      </c>
      <c r="C20" t="s">
        <v>631</v>
      </c>
      <c r="D20" s="39" t="s">
        <v>632</v>
      </c>
      <c r="E20" t="s">
        <v>633</v>
      </c>
      <c r="F20" t="s">
        <v>397</v>
      </c>
      <c r="G20" t="s">
        <v>353</v>
      </c>
      <c r="H20" s="39">
        <v>3</v>
      </c>
      <c r="I20" s="39" t="s">
        <v>354</v>
      </c>
      <c r="J20" s="39" t="s">
        <v>355</v>
      </c>
      <c r="K20" s="39" t="s">
        <v>355</v>
      </c>
      <c r="L20" s="39" t="s">
        <v>355</v>
      </c>
      <c r="M20" s="39" t="s">
        <v>355</v>
      </c>
      <c r="N20" s="39" t="s">
        <v>356</v>
      </c>
      <c r="O20" s="39" t="s">
        <v>362</v>
      </c>
      <c r="P20" s="39" t="s">
        <v>362</v>
      </c>
      <c r="Q20" s="39">
        <v>2</v>
      </c>
    </row>
    <row r="21" spans="1:17" x14ac:dyDescent="0.25">
      <c r="A21" t="s">
        <v>629</v>
      </c>
      <c r="B21" s="39" t="s">
        <v>630</v>
      </c>
      <c r="C21" t="s">
        <v>631</v>
      </c>
      <c r="D21" s="39" t="s">
        <v>634</v>
      </c>
      <c r="E21" t="s">
        <v>635</v>
      </c>
      <c r="F21" t="s">
        <v>352</v>
      </c>
      <c r="G21" t="s">
        <v>398</v>
      </c>
      <c r="H21" s="39">
        <v>3</v>
      </c>
      <c r="I21" s="39" t="s">
        <v>355</v>
      </c>
      <c r="J21" s="39" t="s">
        <v>355</v>
      </c>
      <c r="K21" s="39" t="s">
        <v>355</v>
      </c>
      <c r="L21" s="39" t="s">
        <v>355</v>
      </c>
      <c r="M21" s="39" t="s">
        <v>355</v>
      </c>
      <c r="N21" s="39" t="s">
        <v>356</v>
      </c>
      <c r="O21" s="39" t="s">
        <v>362</v>
      </c>
      <c r="P21" s="39" t="s">
        <v>357</v>
      </c>
      <c r="Q21" s="39">
        <v>1</v>
      </c>
    </row>
    <row r="22" spans="1:17" x14ac:dyDescent="0.25">
      <c r="A22" t="s">
        <v>629</v>
      </c>
      <c r="B22" s="39" t="s">
        <v>630</v>
      </c>
      <c r="C22" t="s">
        <v>631</v>
      </c>
      <c r="D22" s="39" t="s">
        <v>636</v>
      </c>
      <c r="E22" t="s">
        <v>637</v>
      </c>
      <c r="F22" t="s">
        <v>360</v>
      </c>
      <c r="G22" t="s">
        <v>353</v>
      </c>
      <c r="H22" s="39">
        <v>1</v>
      </c>
      <c r="I22" s="39" t="s">
        <v>354</v>
      </c>
      <c r="J22" s="39" t="s">
        <v>355</v>
      </c>
      <c r="K22" s="39" t="s">
        <v>356</v>
      </c>
      <c r="L22" s="39" t="s">
        <v>356</v>
      </c>
      <c r="M22" s="39" t="s">
        <v>357</v>
      </c>
      <c r="N22" s="39" t="s">
        <v>355</v>
      </c>
      <c r="O22" s="39" t="s">
        <v>355</v>
      </c>
      <c r="P22" s="39" t="s">
        <v>356</v>
      </c>
      <c r="Q22" s="39">
        <v>0</v>
      </c>
    </row>
    <row r="23" spans="1:17" x14ac:dyDescent="0.25">
      <c r="A23" t="s">
        <v>629</v>
      </c>
      <c r="B23" s="39" t="s">
        <v>630</v>
      </c>
      <c r="C23" t="s">
        <v>631</v>
      </c>
      <c r="D23" s="39" t="s">
        <v>638</v>
      </c>
      <c r="E23" t="s">
        <v>639</v>
      </c>
      <c r="F23" t="s">
        <v>352</v>
      </c>
      <c r="G23" t="s">
        <v>353</v>
      </c>
      <c r="H23" s="39">
        <v>2</v>
      </c>
      <c r="I23" s="39" t="s">
        <v>354</v>
      </c>
      <c r="J23" s="39" t="s">
        <v>355</v>
      </c>
      <c r="K23" s="39" t="s">
        <v>355</v>
      </c>
      <c r="L23" s="39" t="s">
        <v>355</v>
      </c>
      <c r="M23" s="39" t="s">
        <v>355</v>
      </c>
      <c r="N23" s="39" t="s">
        <v>355</v>
      </c>
      <c r="O23" s="39" t="s">
        <v>356</v>
      </c>
      <c r="P23" s="39" t="s">
        <v>357</v>
      </c>
      <c r="Q23" s="39">
        <v>0</v>
      </c>
    </row>
    <row r="24" spans="1:17" x14ac:dyDescent="0.25">
      <c r="A24" t="s">
        <v>629</v>
      </c>
      <c r="B24" s="39" t="s">
        <v>630</v>
      </c>
      <c r="C24" t="s">
        <v>631</v>
      </c>
      <c r="D24" s="39" t="s">
        <v>640</v>
      </c>
      <c r="E24" t="s">
        <v>641</v>
      </c>
      <c r="F24" t="s">
        <v>352</v>
      </c>
      <c r="G24" t="s">
        <v>353</v>
      </c>
      <c r="H24" s="39">
        <v>5</v>
      </c>
      <c r="I24" s="39" t="s">
        <v>354</v>
      </c>
      <c r="J24" s="39" t="s">
        <v>355</v>
      </c>
      <c r="K24" s="39" t="s">
        <v>356</v>
      </c>
      <c r="L24" s="39" t="s">
        <v>356</v>
      </c>
      <c r="M24" s="39" t="s">
        <v>362</v>
      </c>
      <c r="N24" s="39" t="s">
        <v>357</v>
      </c>
      <c r="O24" s="39" t="s">
        <v>356</v>
      </c>
      <c r="P24" s="39" t="s">
        <v>357</v>
      </c>
      <c r="Q24" s="39">
        <v>2</v>
      </c>
    </row>
    <row r="25" spans="1:17" x14ac:dyDescent="0.25">
      <c r="A25" t="s">
        <v>629</v>
      </c>
      <c r="B25" s="39" t="s">
        <v>630</v>
      </c>
      <c r="C25" t="s">
        <v>631</v>
      </c>
      <c r="D25" s="39" t="s">
        <v>642</v>
      </c>
      <c r="E25" t="s">
        <v>643</v>
      </c>
      <c r="F25" t="s">
        <v>352</v>
      </c>
      <c r="G25" t="s">
        <v>353</v>
      </c>
      <c r="H25" s="39">
        <v>2</v>
      </c>
      <c r="I25" s="39" t="s">
        <v>354</v>
      </c>
      <c r="J25" s="39" t="s">
        <v>355</v>
      </c>
      <c r="K25" s="39" t="s">
        <v>355</v>
      </c>
      <c r="L25" s="39" t="s">
        <v>355</v>
      </c>
      <c r="M25" s="39" t="s">
        <v>355</v>
      </c>
      <c r="N25" s="39" t="s">
        <v>355</v>
      </c>
      <c r="O25" s="39" t="s">
        <v>356</v>
      </c>
      <c r="P25" s="39" t="s">
        <v>357</v>
      </c>
      <c r="Q25" s="39">
        <v>0</v>
      </c>
    </row>
    <row r="26" spans="1:17" x14ac:dyDescent="0.25">
      <c r="A26" t="s">
        <v>629</v>
      </c>
      <c r="B26" s="39" t="s">
        <v>630</v>
      </c>
      <c r="C26" t="s">
        <v>631</v>
      </c>
      <c r="D26" s="39" t="s">
        <v>644</v>
      </c>
      <c r="E26" t="s">
        <v>645</v>
      </c>
      <c r="F26" t="s">
        <v>360</v>
      </c>
      <c r="G26" t="s">
        <v>353</v>
      </c>
      <c r="H26" s="39">
        <v>3</v>
      </c>
      <c r="I26" s="39" t="s">
        <v>354</v>
      </c>
      <c r="J26" s="39" t="s">
        <v>355</v>
      </c>
      <c r="K26" s="39" t="s">
        <v>355</v>
      </c>
      <c r="L26" s="39" t="s">
        <v>355</v>
      </c>
      <c r="M26" s="39" t="s">
        <v>355</v>
      </c>
      <c r="N26" s="39" t="s">
        <v>356</v>
      </c>
      <c r="O26" s="39" t="s">
        <v>357</v>
      </c>
      <c r="P26" s="39" t="s">
        <v>356</v>
      </c>
      <c r="Q26" s="39">
        <v>1</v>
      </c>
    </row>
    <row r="27" spans="1:17" x14ac:dyDescent="0.25">
      <c r="A27" t="s">
        <v>629</v>
      </c>
      <c r="B27" s="39" t="s">
        <v>630</v>
      </c>
      <c r="C27" t="s">
        <v>631</v>
      </c>
      <c r="D27" s="39" t="s">
        <v>646</v>
      </c>
      <c r="E27" t="s">
        <v>647</v>
      </c>
      <c r="F27" t="s">
        <v>352</v>
      </c>
      <c r="G27" t="s">
        <v>353</v>
      </c>
      <c r="H27" s="39">
        <v>2</v>
      </c>
      <c r="I27" s="39" t="s">
        <v>354</v>
      </c>
      <c r="J27" s="39" t="s">
        <v>355</v>
      </c>
      <c r="K27" s="39" t="s">
        <v>355</v>
      </c>
      <c r="L27" s="39" t="s">
        <v>355</v>
      </c>
      <c r="M27" s="39" t="s">
        <v>355</v>
      </c>
      <c r="N27" s="39" t="s">
        <v>355</v>
      </c>
      <c r="O27" s="39" t="s">
        <v>356</v>
      </c>
      <c r="P27" s="39" t="s">
        <v>357</v>
      </c>
      <c r="Q27" s="39">
        <v>0</v>
      </c>
    </row>
    <row r="28" spans="1:17" x14ac:dyDescent="0.25">
      <c r="A28" t="s">
        <v>629</v>
      </c>
      <c r="B28" s="39" t="s">
        <v>630</v>
      </c>
      <c r="C28" t="s">
        <v>631</v>
      </c>
      <c r="D28" s="39" t="s">
        <v>648</v>
      </c>
      <c r="E28" t="s">
        <v>649</v>
      </c>
      <c r="F28" t="s">
        <v>352</v>
      </c>
      <c r="G28" t="s">
        <v>353</v>
      </c>
      <c r="H28" s="39">
        <v>4</v>
      </c>
      <c r="I28" s="39" t="s">
        <v>354</v>
      </c>
      <c r="J28" s="39" t="s">
        <v>355</v>
      </c>
      <c r="K28" s="39" t="s">
        <v>355</v>
      </c>
      <c r="L28" s="39" t="s">
        <v>355</v>
      </c>
      <c r="M28" s="39" t="s">
        <v>356</v>
      </c>
      <c r="N28" s="39" t="s">
        <v>357</v>
      </c>
      <c r="O28" s="39" t="s">
        <v>356</v>
      </c>
      <c r="P28" s="39" t="s">
        <v>357</v>
      </c>
      <c r="Q28" s="39">
        <v>1</v>
      </c>
    </row>
    <row r="29" spans="1:17" x14ac:dyDescent="0.25">
      <c r="A29" t="s">
        <v>629</v>
      </c>
      <c r="B29" s="39" t="s">
        <v>630</v>
      </c>
      <c r="C29" t="s">
        <v>631</v>
      </c>
      <c r="D29" s="39" t="s">
        <v>650</v>
      </c>
      <c r="E29" t="s">
        <v>540</v>
      </c>
      <c r="F29" t="s">
        <v>352</v>
      </c>
      <c r="G29" t="s">
        <v>353</v>
      </c>
      <c r="H29" s="39">
        <v>2</v>
      </c>
      <c r="I29" s="39" t="s">
        <v>354</v>
      </c>
      <c r="J29" s="39" t="s">
        <v>355</v>
      </c>
      <c r="K29" s="39" t="s">
        <v>355</v>
      </c>
      <c r="L29" s="39" t="s">
        <v>355</v>
      </c>
      <c r="M29" s="39" t="s">
        <v>355</v>
      </c>
      <c r="N29" s="39" t="s">
        <v>355</v>
      </c>
      <c r="O29" s="39" t="s">
        <v>356</v>
      </c>
      <c r="P29" s="39" t="s">
        <v>357</v>
      </c>
      <c r="Q29" s="39">
        <v>0</v>
      </c>
    </row>
    <row r="30" spans="1:17" x14ac:dyDescent="0.25">
      <c r="A30" t="s">
        <v>629</v>
      </c>
      <c r="B30" s="39" t="s">
        <v>630</v>
      </c>
      <c r="C30" t="s">
        <v>631</v>
      </c>
      <c r="D30" s="39" t="s">
        <v>651</v>
      </c>
      <c r="E30" t="s">
        <v>652</v>
      </c>
      <c r="F30" t="s">
        <v>352</v>
      </c>
      <c r="G30" t="s">
        <v>353</v>
      </c>
      <c r="H30" s="39">
        <v>2</v>
      </c>
      <c r="I30" s="39" t="s">
        <v>354</v>
      </c>
      <c r="J30" s="39" t="s">
        <v>355</v>
      </c>
      <c r="K30" s="39" t="s">
        <v>355</v>
      </c>
      <c r="L30" s="39" t="s">
        <v>355</v>
      </c>
      <c r="M30" s="39" t="s">
        <v>355</v>
      </c>
      <c r="N30" s="39" t="s">
        <v>355</v>
      </c>
      <c r="O30" s="39" t="s">
        <v>356</v>
      </c>
      <c r="P30" s="39" t="s">
        <v>357</v>
      </c>
      <c r="Q30" s="39">
        <v>0</v>
      </c>
    </row>
    <row r="31" spans="1:17" x14ac:dyDescent="0.25">
      <c r="A31" t="s">
        <v>629</v>
      </c>
      <c r="B31" s="39" t="s">
        <v>630</v>
      </c>
      <c r="C31" t="s">
        <v>631</v>
      </c>
      <c r="D31" s="39" t="s">
        <v>653</v>
      </c>
      <c r="E31" t="s">
        <v>654</v>
      </c>
      <c r="F31" t="s">
        <v>360</v>
      </c>
      <c r="G31" t="s">
        <v>353</v>
      </c>
      <c r="H31" s="39">
        <v>3</v>
      </c>
      <c r="I31" s="39" t="s">
        <v>354</v>
      </c>
      <c r="J31" s="39" t="s">
        <v>355</v>
      </c>
      <c r="K31" s="39" t="s">
        <v>355</v>
      </c>
      <c r="L31" s="39" t="s">
        <v>355</v>
      </c>
      <c r="M31" s="39" t="s">
        <v>355</v>
      </c>
      <c r="N31" s="39" t="s">
        <v>356</v>
      </c>
      <c r="O31" s="39" t="s">
        <v>357</v>
      </c>
      <c r="P31" s="39" t="s">
        <v>356</v>
      </c>
      <c r="Q31" s="39">
        <v>1</v>
      </c>
    </row>
    <row r="32" spans="1:17" x14ac:dyDescent="0.25">
      <c r="A32" t="s">
        <v>629</v>
      </c>
      <c r="B32" s="39" t="s">
        <v>630</v>
      </c>
      <c r="C32" t="s">
        <v>631</v>
      </c>
      <c r="D32" s="39" t="s">
        <v>655</v>
      </c>
      <c r="E32" t="s">
        <v>656</v>
      </c>
      <c r="F32" t="s">
        <v>360</v>
      </c>
      <c r="G32" t="s">
        <v>353</v>
      </c>
      <c r="H32" s="39">
        <v>1</v>
      </c>
      <c r="I32" s="39" t="s">
        <v>354</v>
      </c>
      <c r="J32" s="39" t="s">
        <v>355</v>
      </c>
      <c r="K32" s="39" t="s">
        <v>355</v>
      </c>
      <c r="L32" s="39" t="s">
        <v>355</v>
      </c>
      <c r="M32" s="39" t="s">
        <v>356</v>
      </c>
      <c r="N32" s="39" t="s">
        <v>357</v>
      </c>
      <c r="O32" s="39" t="s">
        <v>355</v>
      </c>
      <c r="P32" s="39" t="s">
        <v>356</v>
      </c>
      <c r="Q32" s="39">
        <v>0</v>
      </c>
    </row>
    <row r="33" spans="1:17" x14ac:dyDescent="0.25">
      <c r="A33" t="s">
        <v>629</v>
      </c>
      <c r="B33" s="39" t="s">
        <v>630</v>
      </c>
      <c r="C33" t="s">
        <v>631</v>
      </c>
      <c r="D33" s="39" t="s">
        <v>657</v>
      </c>
      <c r="E33" t="s">
        <v>658</v>
      </c>
      <c r="F33" t="s">
        <v>360</v>
      </c>
      <c r="G33" t="s">
        <v>353</v>
      </c>
      <c r="H33" s="39">
        <v>3</v>
      </c>
      <c r="I33" s="39" t="s">
        <v>354</v>
      </c>
      <c r="J33" s="39" t="s">
        <v>355</v>
      </c>
      <c r="K33" s="39" t="s">
        <v>355</v>
      </c>
      <c r="L33" s="39" t="s">
        <v>355</v>
      </c>
      <c r="M33" s="39" t="s">
        <v>355</v>
      </c>
      <c r="N33" s="39" t="s">
        <v>356</v>
      </c>
      <c r="O33" s="39" t="s">
        <v>357</v>
      </c>
      <c r="P33" s="39" t="s">
        <v>356</v>
      </c>
      <c r="Q33" s="39">
        <v>1</v>
      </c>
    </row>
    <row r="34" spans="1:17" x14ac:dyDescent="0.25">
      <c r="A34" t="s">
        <v>629</v>
      </c>
      <c r="B34" s="39" t="s">
        <v>630</v>
      </c>
      <c r="C34" t="s">
        <v>631</v>
      </c>
      <c r="D34" s="39" t="s">
        <v>659</v>
      </c>
      <c r="E34" t="s">
        <v>660</v>
      </c>
      <c r="F34" t="s">
        <v>352</v>
      </c>
      <c r="G34" t="s">
        <v>353</v>
      </c>
      <c r="H34" s="39">
        <v>2</v>
      </c>
      <c r="I34" s="39" t="s">
        <v>354</v>
      </c>
      <c r="J34" s="39" t="s">
        <v>355</v>
      </c>
      <c r="K34" s="39" t="s">
        <v>355</v>
      </c>
      <c r="L34" s="39" t="s">
        <v>355</v>
      </c>
      <c r="M34" s="39" t="s">
        <v>355</v>
      </c>
      <c r="N34" s="39" t="s">
        <v>355</v>
      </c>
      <c r="O34" s="39" t="s">
        <v>356</v>
      </c>
      <c r="P34" s="39" t="s">
        <v>357</v>
      </c>
      <c r="Q34" s="39">
        <v>0</v>
      </c>
    </row>
    <row r="35" spans="1:17" x14ac:dyDescent="0.25">
      <c r="A35" t="s">
        <v>629</v>
      </c>
      <c r="B35" s="39" t="s">
        <v>630</v>
      </c>
      <c r="C35" t="s">
        <v>631</v>
      </c>
      <c r="D35" s="39" t="s">
        <v>661</v>
      </c>
      <c r="E35" t="s">
        <v>662</v>
      </c>
      <c r="F35" t="s">
        <v>360</v>
      </c>
      <c r="G35" t="s">
        <v>353</v>
      </c>
      <c r="H35" s="39">
        <v>3</v>
      </c>
      <c r="I35" s="39" t="s">
        <v>354</v>
      </c>
      <c r="J35" s="39" t="s">
        <v>355</v>
      </c>
      <c r="K35" s="39" t="s">
        <v>355</v>
      </c>
      <c r="L35" s="39" t="s">
        <v>355</v>
      </c>
      <c r="M35" s="39" t="s">
        <v>355</v>
      </c>
      <c r="N35" s="39" t="s">
        <v>356</v>
      </c>
      <c r="O35" s="39" t="s">
        <v>357</v>
      </c>
      <c r="P35" s="39" t="s">
        <v>356</v>
      </c>
      <c r="Q35" s="39">
        <v>1</v>
      </c>
    </row>
    <row r="36" spans="1:17" x14ac:dyDescent="0.25">
      <c r="A36" t="s">
        <v>629</v>
      </c>
      <c r="B36" s="39" t="s">
        <v>630</v>
      </c>
      <c r="C36" t="s">
        <v>631</v>
      </c>
      <c r="D36" s="39" t="s">
        <v>663</v>
      </c>
      <c r="E36" t="s">
        <v>664</v>
      </c>
      <c r="F36" t="s">
        <v>360</v>
      </c>
      <c r="G36" t="s">
        <v>353</v>
      </c>
      <c r="H36" s="39">
        <v>1</v>
      </c>
      <c r="I36" s="39" t="s">
        <v>354</v>
      </c>
      <c r="J36" s="39" t="s">
        <v>355</v>
      </c>
      <c r="K36" s="39" t="s">
        <v>355</v>
      </c>
      <c r="L36" s="39" t="s">
        <v>355</v>
      </c>
      <c r="M36" s="39" t="s">
        <v>355</v>
      </c>
      <c r="N36" s="39" t="s">
        <v>355</v>
      </c>
      <c r="O36" s="39" t="s">
        <v>355</v>
      </c>
      <c r="P36" s="39" t="s">
        <v>356</v>
      </c>
      <c r="Q36" s="39">
        <v>0</v>
      </c>
    </row>
    <row r="37" spans="1:17" x14ac:dyDescent="0.25">
      <c r="A37" t="s">
        <v>629</v>
      </c>
      <c r="B37" s="39" t="s">
        <v>630</v>
      </c>
      <c r="C37" t="s">
        <v>631</v>
      </c>
      <c r="D37" s="39" t="s">
        <v>665</v>
      </c>
      <c r="E37" t="s">
        <v>666</v>
      </c>
      <c r="F37" t="s">
        <v>352</v>
      </c>
      <c r="G37" t="s">
        <v>353</v>
      </c>
      <c r="H37" s="39">
        <v>2</v>
      </c>
      <c r="I37" s="39" t="s">
        <v>354</v>
      </c>
      <c r="J37" s="39" t="s">
        <v>355</v>
      </c>
      <c r="K37" s="39" t="s">
        <v>355</v>
      </c>
      <c r="L37" s="39" t="s">
        <v>355</v>
      </c>
      <c r="M37" s="39" t="s">
        <v>355</v>
      </c>
      <c r="N37" s="39" t="s">
        <v>355</v>
      </c>
      <c r="O37" s="39" t="s">
        <v>356</v>
      </c>
      <c r="P37" s="39" t="s">
        <v>357</v>
      </c>
      <c r="Q37" s="39">
        <v>0</v>
      </c>
    </row>
    <row r="38" spans="1:17" x14ac:dyDescent="0.25">
      <c r="A38" t="s">
        <v>629</v>
      </c>
      <c r="B38" s="39" t="s">
        <v>630</v>
      </c>
      <c r="C38" t="s">
        <v>631</v>
      </c>
      <c r="D38" s="39" t="s">
        <v>667</v>
      </c>
      <c r="E38" t="s">
        <v>668</v>
      </c>
      <c r="F38" t="s">
        <v>360</v>
      </c>
      <c r="G38" t="s">
        <v>353</v>
      </c>
      <c r="H38" s="39">
        <v>3</v>
      </c>
      <c r="I38" s="39" t="s">
        <v>354</v>
      </c>
      <c r="J38" s="39" t="s">
        <v>355</v>
      </c>
      <c r="K38" s="39" t="s">
        <v>355</v>
      </c>
      <c r="L38" s="39" t="s">
        <v>355</v>
      </c>
      <c r="M38" s="39" t="s">
        <v>355</v>
      </c>
      <c r="N38" s="39" t="s">
        <v>356</v>
      </c>
      <c r="O38" s="39" t="s">
        <v>357</v>
      </c>
      <c r="P38" s="39" t="s">
        <v>356</v>
      </c>
      <c r="Q38" s="39">
        <v>1</v>
      </c>
    </row>
    <row r="39" spans="1:17" x14ac:dyDescent="0.25">
      <c r="A39" t="s">
        <v>629</v>
      </c>
      <c r="B39" s="39" t="s">
        <v>630</v>
      </c>
      <c r="C39" t="s">
        <v>631</v>
      </c>
      <c r="D39" s="39" t="s">
        <v>669</v>
      </c>
      <c r="E39" t="s">
        <v>507</v>
      </c>
      <c r="F39" t="s">
        <v>397</v>
      </c>
      <c r="G39" t="s">
        <v>353</v>
      </c>
      <c r="H39" s="39">
        <v>2</v>
      </c>
      <c r="I39" s="39" t="s">
        <v>354</v>
      </c>
      <c r="J39" s="39" t="s">
        <v>355</v>
      </c>
      <c r="K39" s="39" t="s">
        <v>355</v>
      </c>
      <c r="L39" s="39" t="s">
        <v>355</v>
      </c>
      <c r="M39" s="39" t="s">
        <v>355</v>
      </c>
      <c r="N39" s="39" t="s">
        <v>355</v>
      </c>
      <c r="O39" s="39" t="s">
        <v>356</v>
      </c>
      <c r="P39" s="39" t="s">
        <v>362</v>
      </c>
      <c r="Q39" s="39">
        <v>1</v>
      </c>
    </row>
    <row r="40" spans="1:17" x14ac:dyDescent="0.25">
      <c r="A40" t="s">
        <v>629</v>
      </c>
      <c r="B40" s="39" t="s">
        <v>630</v>
      </c>
      <c r="C40" t="s">
        <v>631</v>
      </c>
      <c r="D40" s="39" t="s">
        <v>670</v>
      </c>
      <c r="E40" t="s">
        <v>671</v>
      </c>
      <c r="F40" t="s">
        <v>397</v>
      </c>
      <c r="G40" t="s">
        <v>353</v>
      </c>
      <c r="H40" s="39">
        <v>2</v>
      </c>
      <c r="I40" s="39" t="s">
        <v>354</v>
      </c>
      <c r="J40" s="39" t="s">
        <v>355</v>
      </c>
      <c r="K40" s="39" t="s">
        <v>355</v>
      </c>
      <c r="L40" s="39" t="s">
        <v>355</v>
      </c>
      <c r="M40" s="39" t="s">
        <v>355</v>
      </c>
      <c r="N40" s="39" t="s">
        <v>355</v>
      </c>
      <c r="O40" s="39" t="s">
        <v>356</v>
      </c>
      <c r="P40" s="39" t="s">
        <v>362</v>
      </c>
      <c r="Q40" s="39">
        <v>1</v>
      </c>
    </row>
    <row r="41" spans="1:17" x14ac:dyDescent="0.25">
      <c r="A41" t="s">
        <v>629</v>
      </c>
      <c r="B41" s="39" t="s">
        <v>630</v>
      </c>
      <c r="C41" t="s">
        <v>631</v>
      </c>
      <c r="D41" s="39" t="s">
        <v>672</v>
      </c>
      <c r="E41" t="s">
        <v>673</v>
      </c>
      <c r="F41" t="s">
        <v>352</v>
      </c>
      <c r="G41" t="s">
        <v>353</v>
      </c>
      <c r="H41" s="39">
        <v>2</v>
      </c>
      <c r="I41" s="39" t="s">
        <v>354</v>
      </c>
      <c r="J41" s="39" t="s">
        <v>355</v>
      </c>
      <c r="K41" s="39" t="s">
        <v>355</v>
      </c>
      <c r="L41" s="39" t="s">
        <v>355</v>
      </c>
      <c r="M41" s="39" t="s">
        <v>355</v>
      </c>
      <c r="N41" s="39" t="s">
        <v>355</v>
      </c>
      <c r="O41" s="39" t="s">
        <v>356</v>
      </c>
      <c r="P41" s="39" t="s">
        <v>357</v>
      </c>
      <c r="Q41" s="39">
        <v>0</v>
      </c>
    </row>
    <row r="42" spans="1:17" x14ac:dyDescent="0.25">
      <c r="A42" t="s">
        <v>629</v>
      </c>
      <c r="B42" s="39" t="s">
        <v>630</v>
      </c>
      <c r="C42" t="s">
        <v>631</v>
      </c>
      <c r="D42" s="39" t="s">
        <v>674</v>
      </c>
      <c r="E42" t="s">
        <v>675</v>
      </c>
      <c r="F42" t="s">
        <v>397</v>
      </c>
      <c r="G42" t="s">
        <v>353</v>
      </c>
      <c r="H42" s="39">
        <v>2</v>
      </c>
      <c r="I42" s="39" t="s">
        <v>354</v>
      </c>
      <c r="J42" s="39" t="s">
        <v>355</v>
      </c>
      <c r="K42" s="39" t="s">
        <v>355</v>
      </c>
      <c r="L42" s="39" t="s">
        <v>355</v>
      </c>
      <c r="M42" s="39" t="s">
        <v>355</v>
      </c>
      <c r="N42" s="39" t="s">
        <v>355</v>
      </c>
      <c r="O42" s="39" t="s">
        <v>356</v>
      </c>
      <c r="P42" s="39" t="s">
        <v>362</v>
      </c>
      <c r="Q42" s="39">
        <v>1</v>
      </c>
    </row>
    <row r="43" spans="1:17" x14ac:dyDescent="0.25">
      <c r="A43" t="s">
        <v>629</v>
      </c>
      <c r="B43" s="39" t="s">
        <v>630</v>
      </c>
      <c r="C43" t="s">
        <v>631</v>
      </c>
      <c r="D43" s="39" t="s">
        <v>676</v>
      </c>
      <c r="E43" t="s">
        <v>677</v>
      </c>
      <c r="F43" t="s">
        <v>360</v>
      </c>
      <c r="G43" t="s">
        <v>353</v>
      </c>
      <c r="H43" s="39">
        <v>3</v>
      </c>
      <c r="I43" s="39" t="s">
        <v>354</v>
      </c>
      <c r="J43" s="39" t="s">
        <v>355</v>
      </c>
      <c r="K43" s="39" t="s">
        <v>355</v>
      </c>
      <c r="L43" s="39" t="s">
        <v>355</v>
      </c>
      <c r="M43" s="39" t="s">
        <v>355</v>
      </c>
      <c r="N43" s="39" t="s">
        <v>356</v>
      </c>
      <c r="O43" s="39" t="s">
        <v>357</v>
      </c>
      <c r="P43" s="39" t="s">
        <v>356</v>
      </c>
      <c r="Q43" s="39">
        <v>1</v>
      </c>
    </row>
    <row r="44" spans="1:17" x14ac:dyDescent="0.25">
      <c r="A44" t="s">
        <v>629</v>
      </c>
      <c r="B44" s="39" t="s">
        <v>630</v>
      </c>
      <c r="C44" t="s">
        <v>631</v>
      </c>
      <c r="D44" s="39" t="s">
        <v>678</v>
      </c>
      <c r="E44" t="s">
        <v>679</v>
      </c>
      <c r="F44" t="s">
        <v>352</v>
      </c>
      <c r="G44" t="s">
        <v>353</v>
      </c>
      <c r="H44" s="39">
        <v>2</v>
      </c>
      <c r="I44" s="39" t="s">
        <v>354</v>
      </c>
      <c r="J44" s="39" t="s">
        <v>355</v>
      </c>
      <c r="K44" s="39" t="s">
        <v>355</v>
      </c>
      <c r="L44" s="39" t="s">
        <v>355</v>
      </c>
      <c r="M44" s="39" t="s">
        <v>355</v>
      </c>
      <c r="N44" s="39" t="s">
        <v>355</v>
      </c>
      <c r="O44" s="39" t="s">
        <v>356</v>
      </c>
      <c r="P44" s="39" t="s">
        <v>357</v>
      </c>
      <c r="Q44" s="39">
        <v>0</v>
      </c>
    </row>
    <row r="45" spans="1:17" x14ac:dyDescent="0.25">
      <c r="A45" t="s">
        <v>629</v>
      </c>
      <c r="B45" s="39" t="s">
        <v>630</v>
      </c>
      <c r="C45" t="s">
        <v>631</v>
      </c>
      <c r="D45" s="39" t="s">
        <v>680</v>
      </c>
      <c r="E45" t="s">
        <v>681</v>
      </c>
      <c r="F45" t="s">
        <v>397</v>
      </c>
      <c r="G45" t="s">
        <v>398</v>
      </c>
      <c r="H45" s="39">
        <v>2</v>
      </c>
      <c r="I45" s="39" t="s">
        <v>355</v>
      </c>
      <c r="J45" s="39" t="s">
        <v>355</v>
      </c>
      <c r="K45" s="39" t="s">
        <v>355</v>
      </c>
      <c r="L45" s="39" t="s">
        <v>355</v>
      </c>
      <c r="M45" s="39" t="s">
        <v>355</v>
      </c>
      <c r="N45" s="39" t="s">
        <v>355</v>
      </c>
      <c r="O45" s="39" t="s">
        <v>356</v>
      </c>
      <c r="P45" s="39" t="s">
        <v>362</v>
      </c>
      <c r="Q45" s="39">
        <v>1</v>
      </c>
    </row>
    <row r="46" spans="1:17" x14ac:dyDescent="0.25">
      <c r="A46" t="s">
        <v>578</v>
      </c>
      <c r="B46" s="39" t="s">
        <v>579</v>
      </c>
      <c r="C46" t="s">
        <v>580</v>
      </c>
      <c r="D46" s="39" t="s">
        <v>581</v>
      </c>
      <c r="E46" t="s">
        <v>582</v>
      </c>
      <c r="F46" t="s">
        <v>352</v>
      </c>
      <c r="G46" t="s">
        <v>353</v>
      </c>
      <c r="H46" s="39">
        <v>2</v>
      </c>
      <c r="I46" s="39" t="s">
        <v>354</v>
      </c>
      <c r="J46" s="39" t="s">
        <v>355</v>
      </c>
      <c r="K46" s="39" t="s">
        <v>355</v>
      </c>
      <c r="L46" s="39" t="s">
        <v>355</v>
      </c>
      <c r="M46" s="39" t="s">
        <v>355</v>
      </c>
      <c r="N46" s="39" t="s">
        <v>355</v>
      </c>
      <c r="O46" s="39" t="s">
        <v>356</v>
      </c>
      <c r="P46" s="39" t="s">
        <v>357</v>
      </c>
      <c r="Q46" s="39">
        <v>0</v>
      </c>
    </row>
    <row r="47" spans="1:17" x14ac:dyDescent="0.25">
      <c r="A47" t="s">
        <v>425</v>
      </c>
      <c r="B47" s="39" t="s">
        <v>432</v>
      </c>
      <c r="C47" t="s">
        <v>433</v>
      </c>
      <c r="D47" s="39" t="s">
        <v>434</v>
      </c>
      <c r="E47" t="s">
        <v>435</v>
      </c>
      <c r="F47" t="s">
        <v>360</v>
      </c>
      <c r="G47" t="s">
        <v>398</v>
      </c>
      <c r="H47" s="39">
        <v>1</v>
      </c>
      <c r="I47" s="39" t="s">
        <v>354</v>
      </c>
      <c r="J47" s="39" t="s">
        <v>355</v>
      </c>
      <c r="K47" s="39" t="s">
        <v>355</v>
      </c>
      <c r="L47" s="39" t="s">
        <v>355</v>
      </c>
      <c r="M47" s="39" t="s">
        <v>355</v>
      </c>
      <c r="N47" s="39" t="s">
        <v>355</v>
      </c>
      <c r="O47" s="39" t="s">
        <v>355</v>
      </c>
      <c r="P47" s="39" t="s">
        <v>356</v>
      </c>
      <c r="Q47" s="39">
        <v>0</v>
      </c>
    </row>
    <row r="48" spans="1:17" x14ac:dyDescent="0.25">
      <c r="A48" t="s">
        <v>425</v>
      </c>
      <c r="B48" s="39" t="s">
        <v>432</v>
      </c>
      <c r="C48" t="s">
        <v>433</v>
      </c>
      <c r="D48" s="39" t="s">
        <v>436</v>
      </c>
      <c r="E48" t="s">
        <v>437</v>
      </c>
      <c r="F48" t="s">
        <v>352</v>
      </c>
      <c r="G48" t="s">
        <v>353</v>
      </c>
      <c r="H48" s="39">
        <v>2</v>
      </c>
      <c r="I48" s="39" t="s">
        <v>354</v>
      </c>
      <c r="J48" s="39" t="s">
        <v>355</v>
      </c>
      <c r="K48" s="39" t="s">
        <v>355</v>
      </c>
      <c r="L48" s="39" t="s">
        <v>355</v>
      </c>
      <c r="M48" s="39" t="s">
        <v>355</v>
      </c>
      <c r="N48" s="39" t="s">
        <v>355</v>
      </c>
      <c r="O48" s="39" t="s">
        <v>356</v>
      </c>
      <c r="P48" s="39" t="s">
        <v>357</v>
      </c>
      <c r="Q48" s="39">
        <v>0</v>
      </c>
    </row>
    <row r="49" spans="1:17" x14ac:dyDescent="0.25">
      <c r="A49" t="s">
        <v>425</v>
      </c>
      <c r="B49" s="39" t="s">
        <v>432</v>
      </c>
      <c r="C49" t="s">
        <v>433</v>
      </c>
      <c r="D49" s="39" t="s">
        <v>438</v>
      </c>
      <c r="E49" t="s">
        <v>439</v>
      </c>
      <c r="F49" t="s">
        <v>352</v>
      </c>
      <c r="G49" t="s">
        <v>353</v>
      </c>
      <c r="H49" s="39">
        <v>2</v>
      </c>
      <c r="I49" s="39" t="s">
        <v>354</v>
      </c>
      <c r="J49" s="39" t="s">
        <v>355</v>
      </c>
      <c r="K49" s="39" t="s">
        <v>355</v>
      </c>
      <c r="L49" s="39" t="s">
        <v>355</v>
      </c>
      <c r="M49" s="39" t="s">
        <v>355</v>
      </c>
      <c r="N49" s="39" t="s">
        <v>355</v>
      </c>
      <c r="O49" s="39" t="s">
        <v>356</v>
      </c>
      <c r="P49" s="39" t="s">
        <v>357</v>
      </c>
      <c r="Q49" s="39">
        <v>0</v>
      </c>
    </row>
    <row r="50" spans="1:17" x14ac:dyDescent="0.25">
      <c r="A50" t="s">
        <v>425</v>
      </c>
      <c r="B50" s="39" t="s">
        <v>432</v>
      </c>
      <c r="C50" t="s">
        <v>433</v>
      </c>
      <c r="D50" s="39" t="s">
        <v>440</v>
      </c>
      <c r="E50" t="s">
        <v>441</v>
      </c>
      <c r="F50" t="s">
        <v>352</v>
      </c>
      <c r="G50" t="s">
        <v>353</v>
      </c>
      <c r="H50" s="39">
        <v>2</v>
      </c>
      <c r="I50" s="39" t="s">
        <v>354</v>
      </c>
      <c r="J50" s="39" t="s">
        <v>355</v>
      </c>
      <c r="K50" s="39" t="s">
        <v>355</v>
      </c>
      <c r="L50" s="39" t="s">
        <v>355</v>
      </c>
      <c r="M50" s="39" t="s">
        <v>355</v>
      </c>
      <c r="N50" s="39" t="s">
        <v>355</v>
      </c>
      <c r="O50" s="39" t="s">
        <v>356</v>
      </c>
      <c r="P50" s="39" t="s">
        <v>357</v>
      </c>
      <c r="Q50" s="39">
        <v>0</v>
      </c>
    </row>
    <row r="51" spans="1:17" x14ac:dyDescent="0.25">
      <c r="A51" t="s">
        <v>425</v>
      </c>
      <c r="B51" s="39" t="s">
        <v>432</v>
      </c>
      <c r="C51" t="s">
        <v>433</v>
      </c>
      <c r="D51" s="39" t="s">
        <v>442</v>
      </c>
      <c r="E51" t="s">
        <v>443</v>
      </c>
      <c r="F51" t="s">
        <v>352</v>
      </c>
      <c r="G51" t="s">
        <v>353</v>
      </c>
      <c r="H51" s="39">
        <v>4</v>
      </c>
      <c r="I51" s="39" t="s">
        <v>354</v>
      </c>
      <c r="J51" s="39" t="s">
        <v>355</v>
      </c>
      <c r="K51" s="39" t="s">
        <v>355</v>
      </c>
      <c r="L51" s="39" t="s">
        <v>355</v>
      </c>
      <c r="M51" s="39" t="s">
        <v>356</v>
      </c>
      <c r="N51" s="39" t="s">
        <v>357</v>
      </c>
      <c r="O51" s="39" t="s">
        <v>356</v>
      </c>
      <c r="P51" s="39" t="s">
        <v>357</v>
      </c>
      <c r="Q51" s="39">
        <v>1</v>
      </c>
    </row>
    <row r="52" spans="1:17" x14ac:dyDescent="0.25">
      <c r="A52" t="s">
        <v>425</v>
      </c>
      <c r="B52" s="39" t="s">
        <v>432</v>
      </c>
      <c r="C52" t="s">
        <v>433</v>
      </c>
      <c r="D52" s="39" t="s">
        <v>444</v>
      </c>
      <c r="E52" t="s">
        <v>445</v>
      </c>
      <c r="F52" t="s">
        <v>352</v>
      </c>
      <c r="G52" t="s">
        <v>353</v>
      </c>
      <c r="H52" s="39">
        <v>2</v>
      </c>
      <c r="I52" s="39" t="s">
        <v>354</v>
      </c>
      <c r="J52" s="39" t="s">
        <v>355</v>
      </c>
      <c r="K52" s="39" t="s">
        <v>355</v>
      </c>
      <c r="L52" s="39" t="s">
        <v>355</v>
      </c>
      <c r="M52" s="39" t="s">
        <v>355</v>
      </c>
      <c r="N52" s="39" t="s">
        <v>355</v>
      </c>
      <c r="O52" s="39" t="s">
        <v>356</v>
      </c>
      <c r="P52" s="39" t="s">
        <v>357</v>
      </c>
      <c r="Q52" s="39">
        <v>0</v>
      </c>
    </row>
    <row r="53" spans="1:17" x14ac:dyDescent="0.25">
      <c r="A53" t="s">
        <v>425</v>
      </c>
      <c r="B53" s="39" t="s">
        <v>432</v>
      </c>
      <c r="C53" t="s">
        <v>433</v>
      </c>
      <c r="D53" s="39" t="s">
        <v>446</v>
      </c>
      <c r="E53" t="s">
        <v>447</v>
      </c>
      <c r="F53" t="s">
        <v>352</v>
      </c>
      <c r="G53" t="s">
        <v>353</v>
      </c>
      <c r="H53" s="39">
        <v>2</v>
      </c>
      <c r="I53" s="39" t="s">
        <v>354</v>
      </c>
      <c r="J53" s="39" t="s">
        <v>355</v>
      </c>
      <c r="K53" s="39" t="s">
        <v>355</v>
      </c>
      <c r="L53" s="39" t="s">
        <v>355</v>
      </c>
      <c r="M53" s="39" t="s">
        <v>355</v>
      </c>
      <c r="N53" s="39" t="s">
        <v>355</v>
      </c>
      <c r="O53" s="39" t="s">
        <v>356</v>
      </c>
      <c r="P53" s="39" t="s">
        <v>357</v>
      </c>
      <c r="Q53" s="39">
        <v>0</v>
      </c>
    </row>
    <row r="54" spans="1:17" x14ac:dyDescent="0.25">
      <c r="A54" t="s">
        <v>425</v>
      </c>
      <c r="B54" s="39" t="s">
        <v>432</v>
      </c>
      <c r="C54" t="s">
        <v>433</v>
      </c>
      <c r="D54" s="39" t="s">
        <v>448</v>
      </c>
      <c r="E54" t="s">
        <v>449</v>
      </c>
      <c r="F54" t="s">
        <v>352</v>
      </c>
      <c r="G54" t="s">
        <v>353</v>
      </c>
      <c r="H54" s="39">
        <v>4</v>
      </c>
      <c r="I54" s="39" t="s">
        <v>354</v>
      </c>
      <c r="J54" s="39" t="s">
        <v>355</v>
      </c>
      <c r="K54" s="39" t="s">
        <v>355</v>
      </c>
      <c r="L54" s="39" t="s">
        <v>355</v>
      </c>
      <c r="M54" s="39" t="s">
        <v>356</v>
      </c>
      <c r="N54" s="39" t="s">
        <v>357</v>
      </c>
      <c r="O54" s="39" t="s">
        <v>356</v>
      </c>
      <c r="P54" s="39" t="s">
        <v>357</v>
      </c>
      <c r="Q54" s="39">
        <v>1</v>
      </c>
    </row>
    <row r="55" spans="1:17" x14ac:dyDescent="0.25">
      <c r="A55" t="s">
        <v>425</v>
      </c>
      <c r="B55" s="39" t="s">
        <v>432</v>
      </c>
      <c r="C55" t="s">
        <v>433</v>
      </c>
      <c r="D55" s="39" t="s">
        <v>450</v>
      </c>
      <c r="E55" t="s">
        <v>451</v>
      </c>
      <c r="F55" t="s">
        <v>352</v>
      </c>
      <c r="G55" t="s">
        <v>353</v>
      </c>
      <c r="H55" s="39">
        <v>2</v>
      </c>
      <c r="I55" s="39" t="s">
        <v>354</v>
      </c>
      <c r="J55" s="39" t="s">
        <v>355</v>
      </c>
      <c r="K55" s="39" t="s">
        <v>355</v>
      </c>
      <c r="L55" s="39" t="s">
        <v>355</v>
      </c>
      <c r="M55" s="39" t="s">
        <v>355</v>
      </c>
      <c r="N55" s="39" t="s">
        <v>355</v>
      </c>
      <c r="O55" s="39" t="s">
        <v>356</v>
      </c>
      <c r="P55" s="39" t="s">
        <v>357</v>
      </c>
      <c r="Q55" s="39">
        <v>0</v>
      </c>
    </row>
    <row r="56" spans="1:17" x14ac:dyDescent="0.25">
      <c r="A56" t="s">
        <v>425</v>
      </c>
      <c r="B56" s="39" t="s">
        <v>432</v>
      </c>
      <c r="C56" t="s">
        <v>433</v>
      </c>
      <c r="D56" s="39" t="s">
        <v>452</v>
      </c>
      <c r="E56" t="s">
        <v>453</v>
      </c>
      <c r="F56" t="s">
        <v>352</v>
      </c>
      <c r="G56" t="s">
        <v>353</v>
      </c>
      <c r="H56" s="39">
        <v>2</v>
      </c>
      <c r="I56" s="39" t="s">
        <v>354</v>
      </c>
      <c r="J56" s="39" t="s">
        <v>355</v>
      </c>
      <c r="K56" s="39" t="s">
        <v>355</v>
      </c>
      <c r="L56" s="39" t="s">
        <v>355</v>
      </c>
      <c r="M56" s="39" t="s">
        <v>355</v>
      </c>
      <c r="N56" s="39" t="s">
        <v>355</v>
      </c>
      <c r="O56" s="39" t="s">
        <v>356</v>
      </c>
      <c r="P56" s="39" t="s">
        <v>357</v>
      </c>
      <c r="Q56" s="39">
        <v>0</v>
      </c>
    </row>
    <row r="57" spans="1:17" x14ac:dyDescent="0.25">
      <c r="A57" t="s">
        <v>425</v>
      </c>
      <c r="B57" s="39" t="s">
        <v>432</v>
      </c>
      <c r="C57" t="s">
        <v>433</v>
      </c>
      <c r="D57" s="39" t="s">
        <v>454</v>
      </c>
      <c r="E57" t="s">
        <v>455</v>
      </c>
      <c r="F57" t="s">
        <v>352</v>
      </c>
      <c r="G57" t="s">
        <v>353</v>
      </c>
      <c r="H57" s="39">
        <v>2</v>
      </c>
      <c r="I57" s="39" t="s">
        <v>354</v>
      </c>
      <c r="J57" s="39" t="s">
        <v>355</v>
      </c>
      <c r="K57" s="39" t="s">
        <v>355</v>
      </c>
      <c r="L57" s="39" t="s">
        <v>355</v>
      </c>
      <c r="M57" s="39" t="s">
        <v>355</v>
      </c>
      <c r="N57" s="39" t="s">
        <v>355</v>
      </c>
      <c r="O57" s="39" t="s">
        <v>356</v>
      </c>
      <c r="P57" s="39" t="s">
        <v>357</v>
      </c>
      <c r="Q57" s="39">
        <v>0</v>
      </c>
    </row>
    <row r="58" spans="1:17" x14ac:dyDescent="0.25">
      <c r="A58" t="s">
        <v>425</v>
      </c>
      <c r="B58" s="39" t="s">
        <v>432</v>
      </c>
      <c r="C58" t="s">
        <v>433</v>
      </c>
      <c r="D58" s="39" t="s">
        <v>456</v>
      </c>
      <c r="E58" t="s">
        <v>457</v>
      </c>
      <c r="F58" t="s">
        <v>360</v>
      </c>
      <c r="G58" t="s">
        <v>353</v>
      </c>
      <c r="H58" s="39">
        <v>1</v>
      </c>
      <c r="I58" s="39" t="s">
        <v>354</v>
      </c>
      <c r="J58" s="39" t="s">
        <v>355</v>
      </c>
      <c r="K58" s="39" t="s">
        <v>355</v>
      </c>
      <c r="L58" s="39" t="s">
        <v>355</v>
      </c>
      <c r="M58" s="39" t="s">
        <v>355</v>
      </c>
      <c r="N58" s="39" t="s">
        <v>355</v>
      </c>
      <c r="O58" s="39" t="s">
        <v>355</v>
      </c>
      <c r="P58" s="39" t="s">
        <v>356</v>
      </c>
      <c r="Q58" s="39">
        <v>0</v>
      </c>
    </row>
    <row r="59" spans="1:17" x14ac:dyDescent="0.25">
      <c r="A59" t="s">
        <v>425</v>
      </c>
      <c r="B59" s="39" t="s">
        <v>432</v>
      </c>
      <c r="C59" t="s">
        <v>433</v>
      </c>
      <c r="D59" s="39" t="s">
        <v>458</v>
      </c>
      <c r="E59" t="s">
        <v>459</v>
      </c>
      <c r="F59" t="s">
        <v>352</v>
      </c>
      <c r="G59" t="s">
        <v>353</v>
      </c>
      <c r="H59" s="39">
        <v>2</v>
      </c>
      <c r="I59" s="39" t="s">
        <v>354</v>
      </c>
      <c r="J59" s="39" t="s">
        <v>355</v>
      </c>
      <c r="K59" s="39" t="s">
        <v>355</v>
      </c>
      <c r="L59" s="39" t="s">
        <v>355</v>
      </c>
      <c r="M59" s="39" t="s">
        <v>355</v>
      </c>
      <c r="N59" s="39" t="s">
        <v>355</v>
      </c>
      <c r="O59" s="39" t="s">
        <v>356</v>
      </c>
      <c r="P59" s="39" t="s">
        <v>357</v>
      </c>
      <c r="Q59" s="39">
        <v>0</v>
      </c>
    </row>
    <row r="60" spans="1:17" x14ac:dyDescent="0.25">
      <c r="A60" t="s">
        <v>425</v>
      </c>
      <c r="B60" s="39" t="s">
        <v>432</v>
      </c>
      <c r="C60" t="s">
        <v>433</v>
      </c>
      <c r="D60" s="39" t="s">
        <v>460</v>
      </c>
      <c r="E60" t="s">
        <v>461</v>
      </c>
      <c r="F60" t="s">
        <v>352</v>
      </c>
      <c r="G60" t="s">
        <v>353</v>
      </c>
      <c r="H60" s="39">
        <v>2</v>
      </c>
      <c r="I60" s="39" t="s">
        <v>354</v>
      </c>
      <c r="J60" s="39" t="s">
        <v>355</v>
      </c>
      <c r="K60" s="39" t="s">
        <v>355</v>
      </c>
      <c r="L60" s="39" t="s">
        <v>355</v>
      </c>
      <c r="M60" s="39" t="s">
        <v>355</v>
      </c>
      <c r="N60" s="39" t="s">
        <v>355</v>
      </c>
      <c r="O60" s="39" t="s">
        <v>356</v>
      </c>
      <c r="P60" s="39" t="s">
        <v>357</v>
      </c>
      <c r="Q60" s="39">
        <v>0</v>
      </c>
    </row>
    <row r="61" spans="1:17" x14ac:dyDescent="0.25">
      <c r="A61" t="s">
        <v>425</v>
      </c>
      <c r="B61" s="39" t="s">
        <v>432</v>
      </c>
      <c r="C61" t="s">
        <v>433</v>
      </c>
      <c r="D61" s="39" t="s">
        <v>462</v>
      </c>
      <c r="E61" t="s">
        <v>463</v>
      </c>
      <c r="F61" t="s">
        <v>360</v>
      </c>
      <c r="G61" t="s">
        <v>353</v>
      </c>
      <c r="H61" s="39">
        <v>1</v>
      </c>
      <c r="I61" s="39" t="s">
        <v>354</v>
      </c>
      <c r="J61" s="39" t="s">
        <v>355</v>
      </c>
      <c r="K61" s="39" t="s">
        <v>355</v>
      </c>
      <c r="L61" s="39" t="s">
        <v>355</v>
      </c>
      <c r="M61" s="39" t="s">
        <v>355</v>
      </c>
      <c r="N61" s="39" t="s">
        <v>355</v>
      </c>
      <c r="O61" s="39" t="s">
        <v>355</v>
      </c>
      <c r="P61" s="39" t="s">
        <v>356</v>
      </c>
      <c r="Q61" s="39">
        <v>0</v>
      </c>
    </row>
    <row r="62" spans="1:17" x14ac:dyDescent="0.25">
      <c r="A62" t="s">
        <v>425</v>
      </c>
      <c r="B62" s="39" t="s">
        <v>432</v>
      </c>
      <c r="C62" t="s">
        <v>433</v>
      </c>
      <c r="D62" s="39" t="s">
        <v>464</v>
      </c>
      <c r="E62" t="s">
        <v>465</v>
      </c>
      <c r="F62" t="s">
        <v>352</v>
      </c>
      <c r="G62" t="s">
        <v>353</v>
      </c>
      <c r="H62" s="39">
        <v>4</v>
      </c>
      <c r="I62" s="39" t="s">
        <v>354</v>
      </c>
      <c r="J62" s="39" t="s">
        <v>355</v>
      </c>
      <c r="K62" s="39" t="s">
        <v>355</v>
      </c>
      <c r="L62" s="39" t="s">
        <v>355</v>
      </c>
      <c r="M62" s="39" t="s">
        <v>356</v>
      </c>
      <c r="N62" s="39" t="s">
        <v>357</v>
      </c>
      <c r="O62" s="39" t="s">
        <v>356</v>
      </c>
      <c r="P62" s="39" t="s">
        <v>357</v>
      </c>
      <c r="Q62" s="39">
        <v>1</v>
      </c>
    </row>
    <row r="63" spans="1:17" x14ac:dyDescent="0.25">
      <c r="A63" t="s">
        <v>425</v>
      </c>
      <c r="B63" s="39" t="s">
        <v>432</v>
      </c>
      <c r="C63" t="s">
        <v>433</v>
      </c>
      <c r="D63" s="39" t="s">
        <v>466</v>
      </c>
      <c r="E63" t="s">
        <v>467</v>
      </c>
      <c r="F63" t="s">
        <v>352</v>
      </c>
      <c r="G63" t="s">
        <v>353</v>
      </c>
      <c r="H63" s="39">
        <v>2</v>
      </c>
      <c r="I63" s="39" t="s">
        <v>354</v>
      </c>
      <c r="J63" s="39" t="s">
        <v>355</v>
      </c>
      <c r="K63" s="39" t="s">
        <v>355</v>
      </c>
      <c r="L63" s="39" t="s">
        <v>355</v>
      </c>
      <c r="M63" s="39" t="s">
        <v>355</v>
      </c>
      <c r="N63" s="39" t="s">
        <v>355</v>
      </c>
      <c r="O63" s="39" t="s">
        <v>356</v>
      </c>
      <c r="P63" s="39" t="s">
        <v>357</v>
      </c>
      <c r="Q63" s="39">
        <v>0</v>
      </c>
    </row>
    <row r="64" spans="1:17" x14ac:dyDescent="0.25">
      <c r="A64" t="s">
        <v>425</v>
      </c>
      <c r="B64" s="39" t="s">
        <v>432</v>
      </c>
      <c r="C64" t="s">
        <v>433</v>
      </c>
      <c r="D64" s="39" t="s">
        <v>468</v>
      </c>
      <c r="E64" t="s">
        <v>469</v>
      </c>
      <c r="F64" t="s">
        <v>352</v>
      </c>
      <c r="G64" t="s">
        <v>353</v>
      </c>
      <c r="H64" s="39">
        <v>2</v>
      </c>
      <c r="I64" s="39" t="s">
        <v>354</v>
      </c>
      <c r="J64" s="39" t="s">
        <v>355</v>
      </c>
      <c r="K64" s="39" t="s">
        <v>355</v>
      </c>
      <c r="L64" s="39" t="s">
        <v>355</v>
      </c>
      <c r="M64" s="39" t="s">
        <v>355</v>
      </c>
      <c r="N64" s="39" t="s">
        <v>355</v>
      </c>
      <c r="O64" s="39" t="s">
        <v>356</v>
      </c>
      <c r="P64" s="39" t="s">
        <v>357</v>
      </c>
      <c r="Q64" s="39">
        <v>0</v>
      </c>
    </row>
    <row r="65" spans="1:17" x14ac:dyDescent="0.25">
      <c r="A65" t="s">
        <v>425</v>
      </c>
      <c r="B65" s="39" t="s">
        <v>432</v>
      </c>
      <c r="C65" t="s">
        <v>433</v>
      </c>
      <c r="D65" s="39" t="s">
        <v>470</v>
      </c>
      <c r="E65" t="s">
        <v>471</v>
      </c>
      <c r="F65" t="s">
        <v>352</v>
      </c>
      <c r="G65" t="s">
        <v>353</v>
      </c>
      <c r="H65" s="39">
        <v>2</v>
      </c>
      <c r="I65" s="39" t="s">
        <v>354</v>
      </c>
      <c r="J65" s="39" t="s">
        <v>355</v>
      </c>
      <c r="K65" s="39" t="s">
        <v>355</v>
      </c>
      <c r="L65" s="39" t="s">
        <v>355</v>
      </c>
      <c r="M65" s="39" t="s">
        <v>355</v>
      </c>
      <c r="N65" s="39" t="s">
        <v>355</v>
      </c>
      <c r="O65" s="39" t="s">
        <v>356</v>
      </c>
      <c r="P65" s="39" t="s">
        <v>357</v>
      </c>
      <c r="Q65" s="39">
        <v>0</v>
      </c>
    </row>
    <row r="66" spans="1:17" x14ac:dyDescent="0.25">
      <c r="A66" t="s">
        <v>490</v>
      </c>
      <c r="B66" s="39" t="s">
        <v>491</v>
      </c>
      <c r="C66" t="s">
        <v>492</v>
      </c>
      <c r="D66" s="39" t="s">
        <v>493</v>
      </c>
      <c r="E66" t="s">
        <v>494</v>
      </c>
      <c r="F66" t="s">
        <v>352</v>
      </c>
      <c r="G66" t="s">
        <v>353</v>
      </c>
      <c r="H66" s="39">
        <v>2</v>
      </c>
      <c r="I66" s="39" t="s">
        <v>354</v>
      </c>
      <c r="J66" s="39" t="s">
        <v>355</v>
      </c>
      <c r="K66" s="39" t="s">
        <v>355</v>
      </c>
      <c r="L66" s="39" t="s">
        <v>355</v>
      </c>
      <c r="M66" s="39" t="s">
        <v>355</v>
      </c>
      <c r="N66" s="39" t="s">
        <v>355</v>
      </c>
      <c r="O66" s="39" t="s">
        <v>356</v>
      </c>
      <c r="P66" s="39" t="s">
        <v>357</v>
      </c>
      <c r="Q66" s="39">
        <v>0</v>
      </c>
    </row>
    <row r="67" spans="1:17" x14ac:dyDescent="0.25">
      <c r="A67" t="s">
        <v>495</v>
      </c>
      <c r="B67" s="39" t="s">
        <v>496</v>
      </c>
      <c r="C67" t="s">
        <v>497</v>
      </c>
      <c r="D67" s="39" t="s">
        <v>498</v>
      </c>
      <c r="E67" t="s">
        <v>499</v>
      </c>
      <c r="F67" t="s">
        <v>352</v>
      </c>
      <c r="G67" t="s">
        <v>398</v>
      </c>
      <c r="H67" s="39">
        <v>6</v>
      </c>
      <c r="I67" s="39" t="s">
        <v>354</v>
      </c>
      <c r="J67" s="39" t="s">
        <v>356</v>
      </c>
      <c r="K67" s="39" t="s">
        <v>362</v>
      </c>
      <c r="L67" s="39" t="s">
        <v>356</v>
      </c>
      <c r="M67" s="39" t="s">
        <v>362</v>
      </c>
      <c r="N67" s="39" t="s">
        <v>362</v>
      </c>
      <c r="O67" s="39" t="s">
        <v>362</v>
      </c>
      <c r="P67" s="39" t="s">
        <v>357</v>
      </c>
      <c r="Q67" s="39">
        <v>4</v>
      </c>
    </row>
    <row r="68" spans="1:17" x14ac:dyDescent="0.25">
      <c r="A68" t="s">
        <v>495</v>
      </c>
      <c r="B68" s="39" t="s">
        <v>496</v>
      </c>
      <c r="C68" t="s">
        <v>497</v>
      </c>
      <c r="D68" s="39" t="s">
        <v>500</v>
      </c>
      <c r="E68" t="s">
        <v>501</v>
      </c>
      <c r="F68" t="s">
        <v>352</v>
      </c>
      <c r="G68" t="s">
        <v>353</v>
      </c>
      <c r="H68" s="39">
        <v>2</v>
      </c>
      <c r="I68" s="39" t="s">
        <v>354</v>
      </c>
      <c r="J68" s="39" t="s">
        <v>355</v>
      </c>
      <c r="K68" s="39" t="s">
        <v>355</v>
      </c>
      <c r="L68" s="39" t="s">
        <v>355</v>
      </c>
      <c r="M68" s="39" t="s">
        <v>355</v>
      </c>
      <c r="N68" s="39" t="s">
        <v>355</v>
      </c>
      <c r="O68" s="39" t="s">
        <v>356</v>
      </c>
      <c r="P68" s="39" t="s">
        <v>357</v>
      </c>
      <c r="Q68" s="39">
        <v>0</v>
      </c>
    </row>
    <row r="69" spans="1:17" x14ac:dyDescent="0.25">
      <c r="A69" t="s">
        <v>495</v>
      </c>
      <c r="B69" s="39" t="s">
        <v>496</v>
      </c>
      <c r="C69" t="s">
        <v>497</v>
      </c>
      <c r="D69" s="39" t="s">
        <v>502</v>
      </c>
      <c r="E69" t="s">
        <v>503</v>
      </c>
      <c r="F69" t="s">
        <v>352</v>
      </c>
      <c r="G69" t="s">
        <v>353</v>
      </c>
      <c r="H69" s="39">
        <v>3</v>
      </c>
      <c r="I69" s="39" t="s">
        <v>354</v>
      </c>
      <c r="J69" s="39" t="s">
        <v>355</v>
      </c>
      <c r="K69" s="39" t="s">
        <v>355</v>
      </c>
      <c r="L69" s="39" t="s">
        <v>355</v>
      </c>
      <c r="M69" s="39" t="s">
        <v>355</v>
      </c>
      <c r="N69" s="39" t="s">
        <v>356</v>
      </c>
      <c r="O69" s="39" t="s">
        <v>362</v>
      </c>
      <c r="P69" s="39" t="s">
        <v>357</v>
      </c>
      <c r="Q69" s="39">
        <v>1</v>
      </c>
    </row>
    <row r="70" spans="1:17" x14ac:dyDescent="0.25">
      <c r="A70" t="s">
        <v>495</v>
      </c>
      <c r="B70" s="39" t="s">
        <v>496</v>
      </c>
      <c r="C70" t="s">
        <v>497</v>
      </c>
      <c r="D70" s="39" t="s">
        <v>504</v>
      </c>
      <c r="E70" t="s">
        <v>505</v>
      </c>
      <c r="F70" t="s">
        <v>352</v>
      </c>
      <c r="G70" t="s">
        <v>353</v>
      </c>
      <c r="H70" s="39">
        <v>2</v>
      </c>
      <c r="I70" s="39" t="s">
        <v>354</v>
      </c>
      <c r="J70" s="39" t="s">
        <v>355</v>
      </c>
      <c r="K70" s="39" t="s">
        <v>355</v>
      </c>
      <c r="L70" s="39" t="s">
        <v>355</v>
      </c>
      <c r="M70" s="39" t="s">
        <v>355</v>
      </c>
      <c r="N70" s="39" t="s">
        <v>355</v>
      </c>
      <c r="O70" s="39" t="s">
        <v>356</v>
      </c>
      <c r="P70" s="39" t="s">
        <v>357</v>
      </c>
      <c r="Q70" s="39">
        <v>0</v>
      </c>
    </row>
    <row r="71" spans="1:17" x14ac:dyDescent="0.25">
      <c r="A71" t="s">
        <v>495</v>
      </c>
      <c r="B71" s="39" t="s">
        <v>496</v>
      </c>
      <c r="C71" t="s">
        <v>497</v>
      </c>
      <c r="D71" s="39" t="s">
        <v>506</v>
      </c>
      <c r="E71" t="s">
        <v>507</v>
      </c>
      <c r="F71" t="s">
        <v>352</v>
      </c>
      <c r="G71" t="s">
        <v>353</v>
      </c>
      <c r="H71" s="39">
        <v>2</v>
      </c>
      <c r="I71" s="39" t="s">
        <v>354</v>
      </c>
      <c r="J71" s="39" t="s">
        <v>355</v>
      </c>
      <c r="K71" s="39" t="s">
        <v>355</v>
      </c>
      <c r="L71" s="39" t="s">
        <v>355</v>
      </c>
      <c r="M71" s="39" t="s">
        <v>355</v>
      </c>
      <c r="N71" s="39" t="s">
        <v>355</v>
      </c>
      <c r="O71" s="39" t="s">
        <v>356</v>
      </c>
      <c r="P71" s="39" t="s">
        <v>357</v>
      </c>
      <c r="Q71" s="39">
        <v>0</v>
      </c>
    </row>
    <row r="72" spans="1:17" x14ac:dyDescent="0.25">
      <c r="A72" t="s">
        <v>495</v>
      </c>
      <c r="B72" s="39" t="s">
        <v>496</v>
      </c>
      <c r="C72" t="s">
        <v>497</v>
      </c>
      <c r="D72" s="39" t="s">
        <v>508</v>
      </c>
      <c r="E72" t="s">
        <v>509</v>
      </c>
      <c r="F72" t="s">
        <v>352</v>
      </c>
      <c r="G72" t="s">
        <v>353</v>
      </c>
      <c r="H72" s="39">
        <v>2</v>
      </c>
      <c r="I72" s="39" t="s">
        <v>354</v>
      </c>
      <c r="J72" s="39" t="s">
        <v>355</v>
      </c>
      <c r="K72" s="39" t="s">
        <v>355</v>
      </c>
      <c r="L72" s="39" t="s">
        <v>355</v>
      </c>
      <c r="M72" s="39" t="s">
        <v>355</v>
      </c>
      <c r="N72" s="39" t="s">
        <v>355</v>
      </c>
      <c r="O72" s="39" t="s">
        <v>356</v>
      </c>
      <c r="P72" s="39" t="s">
        <v>357</v>
      </c>
      <c r="Q72" s="39">
        <v>0</v>
      </c>
    </row>
    <row r="73" spans="1:17" x14ac:dyDescent="0.25">
      <c r="A73" t="s">
        <v>495</v>
      </c>
      <c r="B73" s="39" t="s">
        <v>496</v>
      </c>
      <c r="C73" t="s">
        <v>497</v>
      </c>
      <c r="D73" s="39" t="s">
        <v>510</v>
      </c>
      <c r="E73" t="s">
        <v>511</v>
      </c>
      <c r="F73" t="s">
        <v>352</v>
      </c>
      <c r="G73" t="s">
        <v>353</v>
      </c>
      <c r="H73" s="39">
        <v>3</v>
      </c>
      <c r="I73" s="39" t="s">
        <v>354</v>
      </c>
      <c r="J73" s="39" t="s">
        <v>355</v>
      </c>
      <c r="K73" s="39" t="s">
        <v>355</v>
      </c>
      <c r="L73" s="39" t="s">
        <v>355</v>
      </c>
      <c r="M73" s="39" t="s">
        <v>355</v>
      </c>
      <c r="N73" s="39" t="s">
        <v>356</v>
      </c>
      <c r="O73" s="39" t="s">
        <v>362</v>
      </c>
      <c r="P73" s="39" t="s">
        <v>357</v>
      </c>
      <c r="Q73" s="39">
        <v>1</v>
      </c>
    </row>
    <row r="74" spans="1:17" x14ac:dyDescent="0.25">
      <c r="A74" t="s">
        <v>495</v>
      </c>
      <c r="B74" s="39" t="s">
        <v>496</v>
      </c>
      <c r="C74" t="s">
        <v>497</v>
      </c>
      <c r="D74" s="39" t="s">
        <v>512</v>
      </c>
      <c r="E74" t="s">
        <v>513</v>
      </c>
      <c r="F74" t="s">
        <v>360</v>
      </c>
      <c r="G74" t="s">
        <v>353</v>
      </c>
      <c r="H74" s="39">
        <v>1</v>
      </c>
      <c r="I74" s="39" t="s">
        <v>354</v>
      </c>
      <c r="J74" s="39" t="s">
        <v>355</v>
      </c>
      <c r="K74" s="39" t="s">
        <v>355</v>
      </c>
      <c r="L74" s="39" t="s">
        <v>355</v>
      </c>
      <c r="M74" s="39" t="s">
        <v>355</v>
      </c>
      <c r="N74" s="39" t="s">
        <v>355</v>
      </c>
      <c r="O74" s="39" t="s">
        <v>355</v>
      </c>
      <c r="P74" s="39" t="s">
        <v>356</v>
      </c>
      <c r="Q74" s="39">
        <v>0</v>
      </c>
    </row>
    <row r="75" spans="1:17" x14ac:dyDescent="0.25">
      <c r="A75" t="s">
        <v>520</v>
      </c>
      <c r="B75" s="39" t="s">
        <v>521</v>
      </c>
      <c r="C75" t="s">
        <v>522</v>
      </c>
      <c r="D75" s="39" t="s">
        <v>523</v>
      </c>
      <c r="E75" t="s">
        <v>524</v>
      </c>
      <c r="F75" t="s">
        <v>360</v>
      </c>
      <c r="G75" t="s">
        <v>353</v>
      </c>
      <c r="H75" s="39">
        <v>1</v>
      </c>
      <c r="I75" s="39" t="s">
        <v>354</v>
      </c>
      <c r="J75" s="39" t="s">
        <v>355</v>
      </c>
      <c r="K75" s="39" t="s">
        <v>355</v>
      </c>
      <c r="L75" s="39" t="s">
        <v>355</v>
      </c>
      <c r="M75" s="39" t="s">
        <v>356</v>
      </c>
      <c r="N75" s="39" t="s">
        <v>357</v>
      </c>
      <c r="O75" s="39" t="s">
        <v>355</v>
      </c>
      <c r="P75" s="39" t="s">
        <v>356</v>
      </c>
      <c r="Q75" s="39">
        <v>0</v>
      </c>
    </row>
    <row r="76" spans="1:17" x14ac:dyDescent="0.25">
      <c r="A76" t="s">
        <v>520</v>
      </c>
      <c r="B76" s="39" t="s">
        <v>521</v>
      </c>
      <c r="C76" t="s">
        <v>522</v>
      </c>
      <c r="D76" s="39" t="s">
        <v>525</v>
      </c>
      <c r="E76" t="s">
        <v>526</v>
      </c>
      <c r="F76" t="s">
        <v>352</v>
      </c>
      <c r="G76" t="s">
        <v>353</v>
      </c>
      <c r="H76" s="39">
        <v>2</v>
      </c>
      <c r="I76" s="39" t="s">
        <v>354</v>
      </c>
      <c r="J76" s="39" t="s">
        <v>355</v>
      </c>
      <c r="K76" s="39" t="s">
        <v>355</v>
      </c>
      <c r="L76" s="39" t="s">
        <v>355</v>
      </c>
      <c r="M76" s="39" t="s">
        <v>355</v>
      </c>
      <c r="N76" s="39" t="s">
        <v>355</v>
      </c>
      <c r="O76" s="39" t="s">
        <v>356</v>
      </c>
      <c r="P76" s="39" t="s">
        <v>357</v>
      </c>
      <c r="Q76" s="39">
        <v>0</v>
      </c>
    </row>
    <row r="77" spans="1:17" x14ac:dyDescent="0.25">
      <c r="A77" t="s">
        <v>490</v>
      </c>
      <c r="B77" s="39" t="s">
        <v>601</v>
      </c>
      <c r="C77" t="s">
        <v>602</v>
      </c>
      <c r="D77" s="39" t="s">
        <v>603</v>
      </c>
      <c r="E77" t="s">
        <v>604</v>
      </c>
      <c r="F77" t="s">
        <v>360</v>
      </c>
      <c r="G77" t="s">
        <v>353</v>
      </c>
      <c r="H77" s="39">
        <v>1</v>
      </c>
      <c r="I77" s="39" t="s">
        <v>354</v>
      </c>
      <c r="J77" s="39" t="s">
        <v>355</v>
      </c>
      <c r="K77" s="39" t="s">
        <v>355</v>
      </c>
      <c r="L77" s="39" t="s">
        <v>355</v>
      </c>
      <c r="M77" s="39" t="s">
        <v>355</v>
      </c>
      <c r="N77" s="39" t="s">
        <v>355</v>
      </c>
      <c r="O77" s="39" t="s">
        <v>355</v>
      </c>
      <c r="P77" s="39" t="s">
        <v>356</v>
      </c>
      <c r="Q77" s="39">
        <v>0</v>
      </c>
    </row>
    <row r="78" spans="1:17" x14ac:dyDescent="0.25">
      <c r="A78" t="s">
        <v>490</v>
      </c>
      <c r="B78" s="39" t="s">
        <v>601</v>
      </c>
      <c r="C78" t="s">
        <v>602</v>
      </c>
      <c r="D78" s="39" t="s">
        <v>605</v>
      </c>
      <c r="E78" t="s">
        <v>606</v>
      </c>
      <c r="F78" t="s">
        <v>360</v>
      </c>
      <c r="G78" t="s">
        <v>353</v>
      </c>
      <c r="H78" s="39">
        <v>3</v>
      </c>
      <c r="I78" s="39" t="s">
        <v>354</v>
      </c>
      <c r="J78" s="39" t="s">
        <v>356</v>
      </c>
      <c r="K78" s="39" t="s">
        <v>357</v>
      </c>
      <c r="L78" s="39" t="s">
        <v>357</v>
      </c>
      <c r="M78" s="39" t="s">
        <v>355</v>
      </c>
      <c r="N78" s="39" t="s">
        <v>356</v>
      </c>
      <c r="O78" s="39" t="s">
        <v>357</v>
      </c>
      <c r="P78" s="39" t="s">
        <v>356</v>
      </c>
      <c r="Q78" s="39">
        <v>1</v>
      </c>
    </row>
    <row r="79" spans="1:17" x14ac:dyDescent="0.25">
      <c r="A79" t="s">
        <v>490</v>
      </c>
      <c r="B79" s="39" t="s">
        <v>601</v>
      </c>
      <c r="C79" t="s">
        <v>602</v>
      </c>
      <c r="D79" s="39" t="s">
        <v>607</v>
      </c>
      <c r="E79" t="s">
        <v>608</v>
      </c>
      <c r="F79" t="s">
        <v>397</v>
      </c>
      <c r="G79" t="s">
        <v>398</v>
      </c>
      <c r="H79" s="39">
        <v>6</v>
      </c>
      <c r="I79" s="39" t="s">
        <v>354</v>
      </c>
      <c r="J79" s="39" t="s">
        <v>356</v>
      </c>
      <c r="K79" s="39" t="s">
        <v>362</v>
      </c>
      <c r="L79" s="39" t="s">
        <v>356</v>
      </c>
      <c r="M79" s="39" t="s">
        <v>362</v>
      </c>
      <c r="N79" s="39" t="s">
        <v>362</v>
      </c>
      <c r="O79" s="39" t="s">
        <v>362</v>
      </c>
      <c r="P79" s="39" t="s">
        <v>362</v>
      </c>
      <c r="Q79" s="39">
        <v>5</v>
      </c>
    </row>
    <row r="80" spans="1:17" x14ac:dyDescent="0.25">
      <c r="A80" t="s">
        <v>490</v>
      </c>
      <c r="B80" s="39" t="s">
        <v>601</v>
      </c>
      <c r="C80" t="s">
        <v>602</v>
      </c>
      <c r="D80" s="39" t="s">
        <v>609</v>
      </c>
      <c r="E80" t="s">
        <v>610</v>
      </c>
      <c r="F80" t="s">
        <v>360</v>
      </c>
      <c r="G80" t="s">
        <v>353</v>
      </c>
      <c r="H80" s="39">
        <v>1</v>
      </c>
      <c r="I80" s="39" t="s">
        <v>354</v>
      </c>
      <c r="J80" s="39" t="s">
        <v>355</v>
      </c>
      <c r="K80" s="39" t="s">
        <v>356</v>
      </c>
      <c r="L80" s="39" t="s">
        <v>356</v>
      </c>
      <c r="M80" s="39" t="s">
        <v>357</v>
      </c>
      <c r="N80" s="39" t="s">
        <v>355</v>
      </c>
      <c r="O80" s="39" t="s">
        <v>355</v>
      </c>
      <c r="P80" s="39" t="s">
        <v>356</v>
      </c>
      <c r="Q80" s="39">
        <v>0</v>
      </c>
    </row>
    <row r="81" spans="1:17" x14ac:dyDescent="0.25">
      <c r="A81" t="s">
        <v>490</v>
      </c>
      <c r="B81" s="39" t="s">
        <v>601</v>
      </c>
      <c r="C81" t="s">
        <v>602</v>
      </c>
      <c r="D81" s="39" t="s">
        <v>611</v>
      </c>
      <c r="E81" t="s">
        <v>612</v>
      </c>
      <c r="F81" t="s">
        <v>352</v>
      </c>
      <c r="G81" t="s">
        <v>353</v>
      </c>
      <c r="H81" s="39">
        <v>5</v>
      </c>
      <c r="I81" s="39" t="s">
        <v>354</v>
      </c>
      <c r="J81" s="39" t="s">
        <v>355</v>
      </c>
      <c r="K81" s="39" t="s">
        <v>356</v>
      </c>
      <c r="L81" s="39" t="s">
        <v>356</v>
      </c>
      <c r="M81" s="39" t="s">
        <v>362</v>
      </c>
      <c r="N81" s="39" t="s">
        <v>357</v>
      </c>
      <c r="O81" s="39" t="s">
        <v>356</v>
      </c>
      <c r="P81" s="39" t="s">
        <v>357</v>
      </c>
      <c r="Q81" s="39">
        <v>2</v>
      </c>
    </row>
    <row r="82" spans="1:17" x14ac:dyDescent="0.25">
      <c r="A82" t="s">
        <v>490</v>
      </c>
      <c r="B82" s="39" t="s">
        <v>601</v>
      </c>
      <c r="C82" t="s">
        <v>602</v>
      </c>
      <c r="D82" s="39" t="s">
        <v>613</v>
      </c>
      <c r="E82" t="s">
        <v>614</v>
      </c>
      <c r="F82" t="s">
        <v>397</v>
      </c>
      <c r="G82" t="s">
        <v>398</v>
      </c>
      <c r="H82" s="39">
        <v>3</v>
      </c>
      <c r="I82" s="39" t="s">
        <v>355</v>
      </c>
      <c r="J82" s="39" t="s">
        <v>355</v>
      </c>
      <c r="K82" s="39" t="s">
        <v>355</v>
      </c>
      <c r="L82" s="39" t="s">
        <v>355</v>
      </c>
      <c r="M82" s="39" t="s">
        <v>355</v>
      </c>
      <c r="N82" s="39" t="s">
        <v>356</v>
      </c>
      <c r="O82" s="39" t="s">
        <v>362</v>
      </c>
      <c r="P82" s="39" t="s">
        <v>362</v>
      </c>
      <c r="Q82" s="39">
        <v>2</v>
      </c>
    </row>
    <row r="83" spans="1:17" x14ac:dyDescent="0.25">
      <c r="A83" t="s">
        <v>490</v>
      </c>
      <c r="B83" s="39" t="s">
        <v>601</v>
      </c>
      <c r="C83" t="s">
        <v>602</v>
      </c>
      <c r="D83" s="39" t="s">
        <v>615</v>
      </c>
      <c r="E83" t="s">
        <v>616</v>
      </c>
      <c r="F83" t="s">
        <v>360</v>
      </c>
      <c r="G83" t="s">
        <v>353</v>
      </c>
      <c r="H83" s="39">
        <v>3</v>
      </c>
      <c r="I83" s="39" t="s">
        <v>354</v>
      </c>
      <c r="J83" s="39" t="s">
        <v>355</v>
      </c>
      <c r="K83" s="39" t="s">
        <v>355</v>
      </c>
      <c r="L83" s="39" t="s">
        <v>355</v>
      </c>
      <c r="M83" s="39" t="s">
        <v>355</v>
      </c>
      <c r="N83" s="39" t="s">
        <v>356</v>
      </c>
      <c r="O83" s="39" t="s">
        <v>357</v>
      </c>
      <c r="P83" s="39" t="s">
        <v>356</v>
      </c>
      <c r="Q83" s="39">
        <v>1</v>
      </c>
    </row>
    <row r="84" spans="1:17" x14ac:dyDescent="0.25">
      <c r="A84" t="s">
        <v>490</v>
      </c>
      <c r="B84" s="39" t="s">
        <v>601</v>
      </c>
      <c r="C84" t="s">
        <v>602</v>
      </c>
      <c r="D84" s="39" t="s">
        <v>617</v>
      </c>
      <c r="E84" t="s">
        <v>618</v>
      </c>
      <c r="F84" t="s">
        <v>360</v>
      </c>
      <c r="G84" t="s">
        <v>353</v>
      </c>
      <c r="H84" s="39">
        <v>1</v>
      </c>
      <c r="I84" s="39" t="s">
        <v>354</v>
      </c>
      <c r="J84" s="39" t="s">
        <v>355</v>
      </c>
      <c r="K84" s="39" t="s">
        <v>355</v>
      </c>
      <c r="L84" s="39" t="s">
        <v>355</v>
      </c>
      <c r="M84" s="39" t="s">
        <v>355</v>
      </c>
      <c r="N84" s="39" t="s">
        <v>355</v>
      </c>
      <c r="O84" s="39" t="s">
        <v>355</v>
      </c>
      <c r="P84" s="39" t="s">
        <v>356</v>
      </c>
      <c r="Q84" s="39">
        <v>0</v>
      </c>
    </row>
    <row r="85" spans="1:17" x14ac:dyDescent="0.25">
      <c r="A85" t="s">
        <v>490</v>
      </c>
      <c r="B85" s="39" t="s">
        <v>601</v>
      </c>
      <c r="C85" t="s">
        <v>602</v>
      </c>
      <c r="D85" s="39" t="s">
        <v>619</v>
      </c>
      <c r="E85" t="s">
        <v>620</v>
      </c>
      <c r="F85" t="s">
        <v>360</v>
      </c>
      <c r="G85" t="s">
        <v>353</v>
      </c>
      <c r="H85" s="39">
        <v>1</v>
      </c>
      <c r="I85" s="39" t="s">
        <v>354</v>
      </c>
      <c r="J85" s="39" t="s">
        <v>355</v>
      </c>
      <c r="K85" s="39" t="s">
        <v>355</v>
      </c>
      <c r="L85" s="39" t="s">
        <v>355</v>
      </c>
      <c r="M85" s="39" t="s">
        <v>355</v>
      </c>
      <c r="N85" s="39" t="s">
        <v>355</v>
      </c>
      <c r="O85" s="39" t="s">
        <v>355</v>
      </c>
      <c r="P85" s="39" t="s">
        <v>356</v>
      </c>
      <c r="Q85" s="39">
        <v>0</v>
      </c>
    </row>
    <row r="86" spans="1:17" x14ac:dyDescent="0.25">
      <c r="A86" t="s">
        <v>490</v>
      </c>
      <c r="B86" s="39" t="s">
        <v>601</v>
      </c>
      <c r="C86" t="s">
        <v>602</v>
      </c>
      <c r="D86" s="39" t="s">
        <v>621</v>
      </c>
      <c r="E86" t="s">
        <v>622</v>
      </c>
      <c r="F86" t="s">
        <v>352</v>
      </c>
      <c r="G86" t="s">
        <v>353</v>
      </c>
      <c r="H86" s="39">
        <v>2</v>
      </c>
      <c r="I86" s="39" t="s">
        <v>354</v>
      </c>
      <c r="J86" s="39" t="s">
        <v>355</v>
      </c>
      <c r="K86" s="39" t="s">
        <v>355</v>
      </c>
      <c r="L86" s="39" t="s">
        <v>355</v>
      </c>
      <c r="M86" s="39" t="s">
        <v>355</v>
      </c>
      <c r="N86" s="39" t="s">
        <v>355</v>
      </c>
      <c r="O86" s="39" t="s">
        <v>356</v>
      </c>
      <c r="P86" s="39" t="s">
        <v>357</v>
      </c>
      <c r="Q86" s="39">
        <v>0</v>
      </c>
    </row>
    <row r="87" spans="1:17" x14ac:dyDescent="0.25">
      <c r="A87" t="s">
        <v>490</v>
      </c>
      <c r="B87" s="39" t="s">
        <v>601</v>
      </c>
      <c r="C87" t="s">
        <v>602</v>
      </c>
      <c r="D87" s="39" t="s">
        <v>623</v>
      </c>
      <c r="E87" t="s">
        <v>624</v>
      </c>
      <c r="F87" t="s">
        <v>352</v>
      </c>
      <c r="G87" t="s">
        <v>353</v>
      </c>
      <c r="H87" s="39">
        <v>2</v>
      </c>
      <c r="I87" s="39" t="s">
        <v>354</v>
      </c>
      <c r="J87" s="39" t="s">
        <v>355</v>
      </c>
      <c r="K87" s="39" t="s">
        <v>355</v>
      </c>
      <c r="L87" s="39" t="s">
        <v>355</v>
      </c>
      <c r="M87" s="39" t="s">
        <v>355</v>
      </c>
      <c r="N87" s="39" t="s">
        <v>355</v>
      </c>
      <c r="O87" s="39" t="s">
        <v>356</v>
      </c>
      <c r="P87" s="39" t="s">
        <v>357</v>
      </c>
      <c r="Q87" s="39">
        <v>0</v>
      </c>
    </row>
    <row r="88" spans="1:17" x14ac:dyDescent="0.25">
      <c r="A88" t="s">
        <v>490</v>
      </c>
      <c r="B88" s="39" t="s">
        <v>601</v>
      </c>
      <c r="C88" t="s">
        <v>602</v>
      </c>
      <c r="D88" s="39" t="s">
        <v>625</v>
      </c>
      <c r="E88" t="s">
        <v>626</v>
      </c>
      <c r="F88" t="s">
        <v>352</v>
      </c>
      <c r="G88" t="s">
        <v>353</v>
      </c>
      <c r="H88" s="39">
        <v>2</v>
      </c>
      <c r="I88" s="39" t="s">
        <v>354</v>
      </c>
      <c r="J88" s="39" t="s">
        <v>355</v>
      </c>
      <c r="K88" s="39" t="s">
        <v>355</v>
      </c>
      <c r="L88" s="39" t="s">
        <v>355</v>
      </c>
      <c r="M88" s="39" t="s">
        <v>355</v>
      </c>
      <c r="N88" s="39" t="s">
        <v>355</v>
      </c>
      <c r="O88" s="39" t="s">
        <v>356</v>
      </c>
      <c r="P88" s="39" t="s">
        <v>357</v>
      </c>
      <c r="Q88" s="39">
        <v>0</v>
      </c>
    </row>
    <row r="89" spans="1:17" x14ac:dyDescent="0.25">
      <c r="A89" t="s">
        <v>490</v>
      </c>
      <c r="B89" s="39" t="s">
        <v>601</v>
      </c>
      <c r="C89" t="s">
        <v>602</v>
      </c>
      <c r="D89" s="39" t="s">
        <v>627</v>
      </c>
      <c r="E89" t="s">
        <v>628</v>
      </c>
      <c r="F89" t="s">
        <v>360</v>
      </c>
      <c r="G89" t="s">
        <v>353</v>
      </c>
      <c r="H89" s="39">
        <v>1</v>
      </c>
      <c r="I89" s="39" t="s">
        <v>354</v>
      </c>
      <c r="J89" s="39" t="s">
        <v>355</v>
      </c>
      <c r="K89" s="39" t="s">
        <v>355</v>
      </c>
      <c r="L89" s="39" t="s">
        <v>355</v>
      </c>
      <c r="M89" s="39" t="s">
        <v>355</v>
      </c>
      <c r="N89" s="39" t="s">
        <v>355</v>
      </c>
      <c r="O89" s="39" t="s">
        <v>355</v>
      </c>
      <c r="P89" s="39" t="s">
        <v>356</v>
      </c>
      <c r="Q89" s="39">
        <v>0</v>
      </c>
    </row>
    <row r="90" spans="1:17" x14ac:dyDescent="0.25">
      <c r="A90" t="s">
        <v>425</v>
      </c>
      <c r="B90" s="39" t="s">
        <v>472</v>
      </c>
      <c r="C90" t="s">
        <v>473</v>
      </c>
      <c r="D90" s="39" t="s">
        <v>474</v>
      </c>
      <c r="E90" t="s">
        <v>475</v>
      </c>
      <c r="F90" t="s">
        <v>352</v>
      </c>
      <c r="G90" t="s">
        <v>353</v>
      </c>
      <c r="H90" s="39">
        <v>2</v>
      </c>
      <c r="I90" s="39" t="s">
        <v>354</v>
      </c>
      <c r="J90" s="39" t="s">
        <v>355</v>
      </c>
      <c r="K90" s="39" t="s">
        <v>355</v>
      </c>
      <c r="L90" s="39" t="s">
        <v>355</v>
      </c>
      <c r="M90" s="39" t="s">
        <v>355</v>
      </c>
      <c r="N90" s="39" t="s">
        <v>355</v>
      </c>
      <c r="O90" s="39" t="s">
        <v>356</v>
      </c>
      <c r="P90" s="39" t="s">
        <v>357</v>
      </c>
      <c r="Q90" s="39">
        <v>0</v>
      </c>
    </row>
    <row r="91" spans="1:17" x14ac:dyDescent="0.25">
      <c r="A91" t="s">
        <v>520</v>
      </c>
      <c r="B91" s="39" t="s">
        <v>549</v>
      </c>
      <c r="C91" t="s">
        <v>550</v>
      </c>
      <c r="D91" s="39" t="s">
        <v>551</v>
      </c>
      <c r="E91" t="s">
        <v>552</v>
      </c>
      <c r="F91" t="s">
        <v>352</v>
      </c>
      <c r="G91" t="s">
        <v>353</v>
      </c>
      <c r="H91" s="39">
        <v>3</v>
      </c>
      <c r="I91" s="39" t="s">
        <v>354</v>
      </c>
      <c r="J91" s="39" t="s">
        <v>355</v>
      </c>
      <c r="K91" s="39" t="s">
        <v>355</v>
      </c>
      <c r="L91" s="39" t="s">
        <v>355</v>
      </c>
      <c r="M91" s="39" t="s">
        <v>355</v>
      </c>
      <c r="N91" s="39" t="s">
        <v>356</v>
      </c>
      <c r="O91" s="39" t="s">
        <v>362</v>
      </c>
      <c r="P91" s="39" t="s">
        <v>357</v>
      </c>
      <c r="Q91" s="39">
        <v>1</v>
      </c>
    </row>
    <row r="92" spans="1:17" x14ac:dyDescent="0.25">
      <c r="A92" t="s">
        <v>520</v>
      </c>
      <c r="B92" s="39" t="s">
        <v>549</v>
      </c>
      <c r="C92" t="s">
        <v>550</v>
      </c>
      <c r="D92" s="39" t="s">
        <v>553</v>
      </c>
      <c r="E92" t="s">
        <v>554</v>
      </c>
      <c r="F92" t="s">
        <v>360</v>
      </c>
      <c r="G92" t="s">
        <v>353</v>
      </c>
      <c r="H92" s="39">
        <v>1</v>
      </c>
      <c r="I92" s="39" t="s">
        <v>354</v>
      </c>
      <c r="J92" s="39" t="s">
        <v>356</v>
      </c>
      <c r="K92" s="39" t="s">
        <v>362</v>
      </c>
      <c r="L92" s="39" t="s">
        <v>356</v>
      </c>
      <c r="M92" s="39" t="s">
        <v>357</v>
      </c>
      <c r="N92" s="39" t="s">
        <v>355</v>
      </c>
      <c r="O92" s="39" t="s">
        <v>355</v>
      </c>
      <c r="P92" s="39" t="s">
        <v>356</v>
      </c>
      <c r="Q92" s="39">
        <v>0</v>
      </c>
    </row>
    <row r="93" spans="1:17" x14ac:dyDescent="0.25">
      <c r="A93" t="s">
        <v>520</v>
      </c>
      <c r="B93" s="39" t="s">
        <v>549</v>
      </c>
      <c r="C93" t="s">
        <v>550</v>
      </c>
      <c r="D93" s="39" t="s">
        <v>555</v>
      </c>
      <c r="E93" t="s">
        <v>556</v>
      </c>
      <c r="F93" t="s">
        <v>352</v>
      </c>
      <c r="G93" t="s">
        <v>353</v>
      </c>
      <c r="H93" s="39">
        <v>2</v>
      </c>
      <c r="I93" s="39" t="s">
        <v>354</v>
      </c>
      <c r="J93" s="39" t="s">
        <v>355</v>
      </c>
      <c r="K93" s="39" t="s">
        <v>355</v>
      </c>
      <c r="L93" s="39" t="s">
        <v>355</v>
      </c>
      <c r="M93" s="39" t="s">
        <v>355</v>
      </c>
      <c r="N93" s="39" t="s">
        <v>355</v>
      </c>
      <c r="O93" s="39" t="s">
        <v>356</v>
      </c>
      <c r="P93" s="39" t="s">
        <v>357</v>
      </c>
      <c r="Q93" s="39">
        <v>0</v>
      </c>
    </row>
    <row r="94" spans="1:17" x14ac:dyDescent="0.25">
      <c r="A94" t="s">
        <v>520</v>
      </c>
      <c r="B94" s="39" t="s">
        <v>549</v>
      </c>
      <c r="C94" t="s">
        <v>550</v>
      </c>
      <c r="D94" s="39" t="s">
        <v>557</v>
      </c>
      <c r="E94" t="s">
        <v>558</v>
      </c>
      <c r="F94" t="s">
        <v>352</v>
      </c>
      <c r="G94" t="s">
        <v>353</v>
      </c>
      <c r="H94" s="39">
        <v>2</v>
      </c>
      <c r="I94" s="39" t="s">
        <v>354</v>
      </c>
      <c r="J94" s="39" t="s">
        <v>355</v>
      </c>
      <c r="K94" s="39" t="s">
        <v>355</v>
      </c>
      <c r="L94" s="39" t="s">
        <v>355</v>
      </c>
      <c r="M94" s="39" t="s">
        <v>355</v>
      </c>
      <c r="N94" s="39" t="s">
        <v>355</v>
      </c>
      <c r="O94" s="39" t="s">
        <v>356</v>
      </c>
      <c r="P94" s="39" t="s">
        <v>357</v>
      </c>
      <c r="Q94" s="39">
        <v>0</v>
      </c>
    </row>
    <row r="95" spans="1:17" x14ac:dyDescent="0.25">
      <c r="A95" t="s">
        <v>520</v>
      </c>
      <c r="B95" s="39" t="s">
        <v>549</v>
      </c>
      <c r="C95" t="s">
        <v>550</v>
      </c>
      <c r="D95" s="39" t="s">
        <v>559</v>
      </c>
      <c r="E95" t="s">
        <v>560</v>
      </c>
      <c r="F95" t="s">
        <v>397</v>
      </c>
      <c r="G95" t="s">
        <v>398</v>
      </c>
      <c r="H95" s="39">
        <v>7</v>
      </c>
      <c r="I95" s="39" t="s">
        <v>354</v>
      </c>
      <c r="J95" s="39" t="s">
        <v>356</v>
      </c>
      <c r="K95" s="39" t="s">
        <v>362</v>
      </c>
      <c r="L95" s="39" t="s">
        <v>356</v>
      </c>
      <c r="M95" s="39" t="s">
        <v>362</v>
      </c>
      <c r="N95" s="39" t="s">
        <v>362</v>
      </c>
      <c r="O95" s="39" t="s">
        <v>362</v>
      </c>
      <c r="P95" s="39" t="s">
        <v>362</v>
      </c>
      <c r="Q95" s="39">
        <v>5</v>
      </c>
    </row>
    <row r="96" spans="1:17" x14ac:dyDescent="0.25">
      <c r="A96" t="s">
        <v>520</v>
      </c>
      <c r="B96" s="39" t="s">
        <v>549</v>
      </c>
      <c r="C96" t="s">
        <v>550</v>
      </c>
      <c r="D96" s="39" t="s">
        <v>561</v>
      </c>
      <c r="E96" t="s">
        <v>562</v>
      </c>
      <c r="F96" t="s">
        <v>397</v>
      </c>
      <c r="G96" t="s">
        <v>398</v>
      </c>
      <c r="H96" s="39">
        <v>6</v>
      </c>
      <c r="I96" s="39" t="s">
        <v>354</v>
      </c>
      <c r="J96" s="39" t="s">
        <v>355</v>
      </c>
      <c r="K96" s="39" t="s">
        <v>356</v>
      </c>
      <c r="L96" s="39" t="s">
        <v>356</v>
      </c>
      <c r="M96" s="39" t="s">
        <v>362</v>
      </c>
      <c r="N96" s="39" t="s">
        <v>362</v>
      </c>
      <c r="O96" s="39" t="s">
        <v>362</v>
      </c>
      <c r="P96" s="39" t="s">
        <v>362</v>
      </c>
      <c r="Q96" s="39">
        <v>4</v>
      </c>
    </row>
    <row r="97" spans="1:17" x14ac:dyDescent="0.25">
      <c r="A97" t="s">
        <v>563</v>
      </c>
      <c r="B97" s="39" t="s">
        <v>564</v>
      </c>
      <c r="C97" t="s">
        <v>565</v>
      </c>
      <c r="D97" s="39" t="s">
        <v>566</v>
      </c>
      <c r="E97" t="s">
        <v>567</v>
      </c>
      <c r="F97" t="s">
        <v>352</v>
      </c>
      <c r="G97" t="s">
        <v>353</v>
      </c>
      <c r="H97" s="39">
        <v>2</v>
      </c>
      <c r="I97" s="39" t="s">
        <v>354</v>
      </c>
      <c r="J97" s="39" t="s">
        <v>355</v>
      </c>
      <c r="K97" s="39" t="s">
        <v>355</v>
      </c>
      <c r="L97" s="39" t="s">
        <v>355</v>
      </c>
      <c r="M97" s="39" t="s">
        <v>355</v>
      </c>
      <c r="N97" s="39" t="s">
        <v>355</v>
      </c>
      <c r="O97" s="39" t="s">
        <v>356</v>
      </c>
      <c r="P97" s="39" t="s">
        <v>357</v>
      </c>
      <c r="Q97" s="39">
        <v>0</v>
      </c>
    </row>
    <row r="98" spans="1:17" x14ac:dyDescent="0.25">
      <c r="A98" t="s">
        <v>563</v>
      </c>
      <c r="B98" s="39" t="s">
        <v>564</v>
      </c>
      <c r="C98" t="s">
        <v>565</v>
      </c>
      <c r="D98" s="39" t="s">
        <v>568</v>
      </c>
      <c r="E98" t="s">
        <v>569</v>
      </c>
      <c r="F98" t="s">
        <v>360</v>
      </c>
      <c r="G98" t="s">
        <v>353</v>
      </c>
      <c r="H98" s="39">
        <v>1</v>
      </c>
      <c r="I98" s="39" t="s">
        <v>354</v>
      </c>
      <c r="J98" s="39" t="s">
        <v>355</v>
      </c>
      <c r="K98" s="39" t="s">
        <v>355</v>
      </c>
      <c r="L98" s="39" t="s">
        <v>355</v>
      </c>
      <c r="M98" s="39" t="s">
        <v>355</v>
      </c>
      <c r="N98" s="39" t="s">
        <v>355</v>
      </c>
      <c r="O98" s="39" t="s">
        <v>355</v>
      </c>
      <c r="P98" s="39" t="s">
        <v>356</v>
      </c>
      <c r="Q98" s="39">
        <v>0</v>
      </c>
    </row>
    <row r="99" spans="1:17" x14ac:dyDescent="0.25">
      <c r="A99" t="s">
        <v>563</v>
      </c>
      <c r="B99" s="39" t="s">
        <v>564</v>
      </c>
      <c r="C99" t="s">
        <v>565</v>
      </c>
      <c r="D99" s="39" t="s">
        <v>570</v>
      </c>
      <c r="E99" t="s">
        <v>571</v>
      </c>
      <c r="F99" t="s">
        <v>360</v>
      </c>
      <c r="G99" t="s">
        <v>353</v>
      </c>
      <c r="H99" s="39">
        <v>1</v>
      </c>
      <c r="I99" s="39" t="s">
        <v>354</v>
      </c>
      <c r="J99" s="39" t="s">
        <v>355</v>
      </c>
      <c r="K99" s="39" t="s">
        <v>355</v>
      </c>
      <c r="L99" s="39" t="s">
        <v>355</v>
      </c>
      <c r="M99" s="39" t="s">
        <v>355</v>
      </c>
      <c r="N99" s="39" t="s">
        <v>355</v>
      </c>
      <c r="O99" s="39" t="s">
        <v>355</v>
      </c>
      <c r="P99" s="39" t="s">
        <v>356</v>
      </c>
      <c r="Q99" s="39">
        <v>0</v>
      </c>
    </row>
    <row r="100" spans="1:17" x14ac:dyDescent="0.25">
      <c r="A100" t="s">
        <v>563</v>
      </c>
      <c r="B100" s="39" t="s">
        <v>564</v>
      </c>
      <c r="C100" t="s">
        <v>565</v>
      </c>
      <c r="D100" s="39" t="s">
        <v>572</v>
      </c>
      <c r="E100" t="s">
        <v>573</v>
      </c>
      <c r="F100" t="s">
        <v>352</v>
      </c>
      <c r="G100" t="s">
        <v>353</v>
      </c>
      <c r="H100" s="39">
        <v>2</v>
      </c>
      <c r="I100" s="39" t="s">
        <v>354</v>
      </c>
      <c r="J100" s="39" t="s">
        <v>355</v>
      </c>
      <c r="K100" s="39" t="s">
        <v>355</v>
      </c>
      <c r="L100" s="39" t="s">
        <v>355</v>
      </c>
      <c r="M100" s="39" t="s">
        <v>355</v>
      </c>
      <c r="N100" s="39" t="s">
        <v>355</v>
      </c>
      <c r="O100" s="39" t="s">
        <v>356</v>
      </c>
      <c r="P100" s="39" t="s">
        <v>357</v>
      </c>
      <c r="Q100" s="39">
        <v>0</v>
      </c>
    </row>
    <row r="101" spans="1:17" x14ac:dyDescent="0.25">
      <c r="A101" t="s">
        <v>563</v>
      </c>
      <c r="B101" s="39" t="s">
        <v>564</v>
      </c>
      <c r="C101" t="s">
        <v>565</v>
      </c>
      <c r="D101" s="39" t="s">
        <v>574</v>
      </c>
      <c r="E101" t="s">
        <v>575</v>
      </c>
      <c r="F101" t="s">
        <v>352</v>
      </c>
      <c r="G101" t="s">
        <v>353</v>
      </c>
      <c r="H101" s="39">
        <v>2</v>
      </c>
      <c r="I101" s="39" t="s">
        <v>354</v>
      </c>
      <c r="J101" s="39" t="s">
        <v>355</v>
      </c>
      <c r="K101" s="39" t="s">
        <v>355</v>
      </c>
      <c r="L101" s="39" t="s">
        <v>355</v>
      </c>
      <c r="M101" s="39" t="s">
        <v>355</v>
      </c>
      <c r="N101" s="39" t="s">
        <v>355</v>
      </c>
      <c r="O101" s="39" t="s">
        <v>356</v>
      </c>
      <c r="P101" s="39" t="s">
        <v>357</v>
      </c>
      <c r="Q101" s="39">
        <v>0</v>
      </c>
    </row>
    <row r="102" spans="1:17" x14ac:dyDescent="0.25">
      <c r="A102" t="s">
        <v>563</v>
      </c>
      <c r="B102" s="39" t="s">
        <v>564</v>
      </c>
      <c r="C102" t="s">
        <v>565</v>
      </c>
      <c r="D102" s="39" t="s">
        <v>576</v>
      </c>
      <c r="E102" t="s">
        <v>577</v>
      </c>
      <c r="F102" t="s">
        <v>397</v>
      </c>
      <c r="G102" t="s">
        <v>353</v>
      </c>
      <c r="H102" s="39">
        <v>2</v>
      </c>
      <c r="I102" s="39" t="s">
        <v>354</v>
      </c>
      <c r="J102" s="39" t="s">
        <v>355</v>
      </c>
      <c r="K102" s="39" t="s">
        <v>355</v>
      </c>
      <c r="L102" s="39" t="s">
        <v>355</v>
      </c>
      <c r="M102" s="39" t="s">
        <v>355</v>
      </c>
      <c r="N102" s="39" t="s">
        <v>355</v>
      </c>
      <c r="O102" s="39" t="s">
        <v>356</v>
      </c>
      <c r="P102" s="39" t="s">
        <v>362</v>
      </c>
      <c r="Q102" s="39">
        <v>1</v>
      </c>
    </row>
    <row r="103" spans="1:17" x14ac:dyDescent="0.25">
      <c r="A103" t="s">
        <v>425</v>
      </c>
      <c r="B103" s="39" t="s">
        <v>476</v>
      </c>
      <c r="C103" t="s">
        <v>477</v>
      </c>
      <c r="D103" s="39" t="s">
        <v>478</v>
      </c>
      <c r="E103" t="s">
        <v>479</v>
      </c>
      <c r="F103" t="s">
        <v>360</v>
      </c>
      <c r="G103" t="s">
        <v>353</v>
      </c>
      <c r="H103" s="39">
        <v>1</v>
      </c>
      <c r="I103" s="39" t="s">
        <v>354</v>
      </c>
      <c r="J103" s="39" t="s">
        <v>355</v>
      </c>
      <c r="K103" s="39" t="s">
        <v>355</v>
      </c>
      <c r="L103" s="39" t="s">
        <v>355</v>
      </c>
      <c r="M103" s="39" t="s">
        <v>355</v>
      </c>
      <c r="N103" s="39" t="s">
        <v>355</v>
      </c>
      <c r="O103" s="39" t="s">
        <v>355</v>
      </c>
      <c r="P103" s="39" t="s">
        <v>356</v>
      </c>
      <c r="Q103" s="39">
        <v>0</v>
      </c>
    </row>
    <row r="104" spans="1:17" x14ac:dyDescent="0.25">
      <c r="A104" t="s">
        <v>425</v>
      </c>
      <c r="B104" s="39" t="s">
        <v>476</v>
      </c>
      <c r="C104" t="s">
        <v>477</v>
      </c>
      <c r="D104" s="39" t="s">
        <v>480</v>
      </c>
      <c r="E104" t="s">
        <v>481</v>
      </c>
      <c r="F104" t="s">
        <v>360</v>
      </c>
      <c r="G104" t="s">
        <v>353</v>
      </c>
      <c r="H104" s="39">
        <v>1</v>
      </c>
      <c r="I104" s="39" t="s">
        <v>354</v>
      </c>
      <c r="J104" s="39" t="s">
        <v>355</v>
      </c>
      <c r="K104" s="39" t="s">
        <v>355</v>
      </c>
      <c r="L104" s="39" t="s">
        <v>355</v>
      </c>
      <c r="M104" s="39" t="s">
        <v>355</v>
      </c>
      <c r="N104" s="39" t="s">
        <v>355</v>
      </c>
      <c r="O104" s="39" t="s">
        <v>355</v>
      </c>
      <c r="P104" s="39" t="s">
        <v>356</v>
      </c>
      <c r="Q104" s="39">
        <v>0</v>
      </c>
    </row>
    <row r="105" spans="1:17" x14ac:dyDescent="0.25">
      <c r="A105" t="s">
        <v>425</v>
      </c>
      <c r="B105" s="39" t="s">
        <v>476</v>
      </c>
      <c r="C105" t="s">
        <v>477</v>
      </c>
      <c r="D105" s="39" t="s">
        <v>482</v>
      </c>
      <c r="E105" t="s">
        <v>483</v>
      </c>
      <c r="F105" t="s">
        <v>360</v>
      </c>
      <c r="G105" t="s">
        <v>353</v>
      </c>
      <c r="H105" s="39">
        <v>1</v>
      </c>
      <c r="I105" s="39" t="s">
        <v>354</v>
      </c>
      <c r="J105" s="39" t="s">
        <v>355</v>
      </c>
      <c r="K105" s="39" t="s">
        <v>355</v>
      </c>
      <c r="L105" s="39" t="s">
        <v>355</v>
      </c>
      <c r="M105" s="39" t="s">
        <v>355</v>
      </c>
      <c r="N105" s="39" t="s">
        <v>355</v>
      </c>
      <c r="O105" s="39" t="s">
        <v>355</v>
      </c>
      <c r="P105" s="39" t="s">
        <v>356</v>
      </c>
      <c r="Q105" s="39">
        <v>0</v>
      </c>
    </row>
    <row r="106" spans="1:17" x14ac:dyDescent="0.25">
      <c r="A106" t="s">
        <v>425</v>
      </c>
      <c r="B106" s="39" t="s">
        <v>476</v>
      </c>
      <c r="C106" t="s">
        <v>477</v>
      </c>
      <c r="D106" s="39" t="s">
        <v>484</v>
      </c>
      <c r="E106" t="s">
        <v>485</v>
      </c>
      <c r="F106" t="s">
        <v>360</v>
      </c>
      <c r="G106" t="s">
        <v>353</v>
      </c>
      <c r="H106" s="39">
        <v>1</v>
      </c>
      <c r="I106" s="39" t="s">
        <v>354</v>
      </c>
      <c r="J106" s="39" t="s">
        <v>355</v>
      </c>
      <c r="K106" s="39" t="s">
        <v>355</v>
      </c>
      <c r="L106" s="39" t="s">
        <v>355</v>
      </c>
      <c r="M106" s="39" t="s">
        <v>355</v>
      </c>
      <c r="N106" s="39" t="s">
        <v>355</v>
      </c>
      <c r="O106" s="39" t="s">
        <v>355</v>
      </c>
      <c r="P106" s="39" t="s">
        <v>356</v>
      </c>
      <c r="Q106" s="39">
        <v>0</v>
      </c>
    </row>
    <row r="107" spans="1:17" x14ac:dyDescent="0.25">
      <c r="A107" t="s">
        <v>425</v>
      </c>
      <c r="B107" s="39" t="s">
        <v>476</v>
      </c>
      <c r="C107" t="s">
        <v>477</v>
      </c>
      <c r="D107" s="39" t="s">
        <v>486</v>
      </c>
      <c r="E107" t="s">
        <v>487</v>
      </c>
      <c r="F107" t="s">
        <v>360</v>
      </c>
      <c r="G107" t="s">
        <v>353</v>
      </c>
      <c r="H107" s="39">
        <v>1</v>
      </c>
      <c r="I107" s="39" t="s">
        <v>354</v>
      </c>
      <c r="J107" s="39" t="s">
        <v>355</v>
      </c>
      <c r="K107" s="39" t="s">
        <v>355</v>
      </c>
      <c r="L107" s="39" t="s">
        <v>355</v>
      </c>
      <c r="M107" s="39" t="s">
        <v>355</v>
      </c>
      <c r="N107" s="39" t="s">
        <v>355</v>
      </c>
      <c r="O107" s="39" t="s">
        <v>355</v>
      </c>
      <c r="P107" s="39" t="s">
        <v>356</v>
      </c>
      <c r="Q107" s="39">
        <v>0</v>
      </c>
    </row>
    <row r="108" spans="1:17" x14ac:dyDescent="0.25">
      <c r="A108" t="s">
        <v>425</v>
      </c>
      <c r="B108" s="39" t="s">
        <v>476</v>
      </c>
      <c r="C108" t="s">
        <v>477</v>
      </c>
      <c r="D108" s="39" t="s">
        <v>488</v>
      </c>
      <c r="E108" t="s">
        <v>489</v>
      </c>
      <c r="F108" t="s">
        <v>360</v>
      </c>
      <c r="G108" t="s">
        <v>353</v>
      </c>
      <c r="H108" s="39">
        <v>1</v>
      </c>
      <c r="I108" s="39" t="s">
        <v>354</v>
      </c>
      <c r="J108" s="39" t="s">
        <v>355</v>
      </c>
      <c r="K108" s="39" t="s">
        <v>355</v>
      </c>
      <c r="L108" s="39" t="s">
        <v>355</v>
      </c>
      <c r="M108" s="39" t="s">
        <v>355</v>
      </c>
      <c r="N108" s="39" t="s">
        <v>355</v>
      </c>
      <c r="O108" s="39" t="s">
        <v>355</v>
      </c>
      <c r="P108" s="39" t="s">
        <v>356</v>
      </c>
      <c r="Q108" s="39">
        <v>0</v>
      </c>
    </row>
    <row r="109" spans="1:17" x14ac:dyDescent="0.25">
      <c r="A109" t="s">
        <v>347</v>
      </c>
      <c r="B109" s="39" t="s">
        <v>399</v>
      </c>
      <c r="C109" t="s">
        <v>400</v>
      </c>
      <c r="D109" s="39" t="s">
        <v>401</v>
      </c>
      <c r="E109" t="s">
        <v>402</v>
      </c>
      <c r="F109" t="s">
        <v>360</v>
      </c>
      <c r="G109" t="s">
        <v>353</v>
      </c>
      <c r="H109" s="39">
        <v>1</v>
      </c>
      <c r="I109" s="39" t="s">
        <v>354</v>
      </c>
      <c r="J109" s="39" t="s">
        <v>355</v>
      </c>
      <c r="K109" s="39" t="s">
        <v>355</v>
      </c>
      <c r="L109" s="39" t="s">
        <v>355</v>
      </c>
      <c r="M109" s="39" t="s">
        <v>355</v>
      </c>
      <c r="N109" s="39" t="s">
        <v>355</v>
      </c>
      <c r="O109" s="39" t="s">
        <v>355</v>
      </c>
      <c r="P109" s="39" t="s">
        <v>356</v>
      </c>
      <c r="Q109" s="39">
        <v>0</v>
      </c>
    </row>
    <row r="110" spans="1:17" x14ac:dyDescent="0.25">
      <c r="A110" t="s">
        <v>347</v>
      </c>
      <c r="B110" s="39" t="s">
        <v>399</v>
      </c>
      <c r="C110" t="s">
        <v>400</v>
      </c>
      <c r="D110" s="39" t="s">
        <v>403</v>
      </c>
      <c r="E110" t="s">
        <v>404</v>
      </c>
      <c r="F110" t="s">
        <v>352</v>
      </c>
      <c r="G110" t="s">
        <v>353</v>
      </c>
      <c r="H110" s="39">
        <v>2</v>
      </c>
      <c r="I110" s="39" t="s">
        <v>354</v>
      </c>
      <c r="J110" s="39" t="s">
        <v>355</v>
      </c>
      <c r="K110" s="39" t="s">
        <v>355</v>
      </c>
      <c r="L110" s="39" t="s">
        <v>355</v>
      </c>
      <c r="M110" s="39" t="s">
        <v>355</v>
      </c>
      <c r="N110" s="39" t="s">
        <v>355</v>
      </c>
      <c r="O110" s="39" t="s">
        <v>356</v>
      </c>
      <c r="P110" s="39" t="s">
        <v>357</v>
      </c>
      <c r="Q110" s="39">
        <v>0</v>
      </c>
    </row>
    <row r="111" spans="1:17" x14ac:dyDescent="0.25">
      <c r="A111" t="s">
        <v>347</v>
      </c>
      <c r="B111" s="39" t="s">
        <v>399</v>
      </c>
      <c r="C111" t="s">
        <v>400</v>
      </c>
      <c r="D111" s="39" t="s">
        <v>405</v>
      </c>
      <c r="E111" t="s">
        <v>406</v>
      </c>
      <c r="F111" t="s">
        <v>360</v>
      </c>
      <c r="G111" t="s">
        <v>353</v>
      </c>
      <c r="H111" s="39">
        <v>1</v>
      </c>
      <c r="I111" s="39" t="s">
        <v>354</v>
      </c>
      <c r="J111" s="39" t="s">
        <v>355</v>
      </c>
      <c r="K111" s="39" t="s">
        <v>355</v>
      </c>
      <c r="L111" s="39" t="s">
        <v>355</v>
      </c>
      <c r="M111" s="39" t="s">
        <v>355</v>
      </c>
      <c r="N111" s="39" t="s">
        <v>355</v>
      </c>
      <c r="O111" s="39" t="s">
        <v>355</v>
      </c>
      <c r="P111" s="39" t="s">
        <v>356</v>
      </c>
      <c r="Q111" s="39">
        <v>0</v>
      </c>
    </row>
    <row r="112" spans="1:17" x14ac:dyDescent="0.25">
      <c r="A112" t="s">
        <v>347</v>
      </c>
      <c r="B112" s="39" t="s">
        <v>407</v>
      </c>
      <c r="C112" t="s">
        <v>408</v>
      </c>
      <c r="D112" s="39" t="s">
        <v>409</v>
      </c>
      <c r="E112" t="s">
        <v>410</v>
      </c>
      <c r="F112" t="s">
        <v>360</v>
      </c>
      <c r="G112" t="s">
        <v>353</v>
      </c>
      <c r="H112" s="39">
        <v>1</v>
      </c>
      <c r="I112" s="39" t="s">
        <v>354</v>
      </c>
      <c r="J112" s="39" t="s">
        <v>355</v>
      </c>
      <c r="K112" s="39" t="s">
        <v>355</v>
      </c>
      <c r="L112" s="39" t="s">
        <v>355</v>
      </c>
      <c r="M112" s="39" t="s">
        <v>355</v>
      </c>
      <c r="N112" s="39" t="s">
        <v>355</v>
      </c>
      <c r="O112" s="39" t="s">
        <v>355</v>
      </c>
      <c r="P112" s="39" t="s">
        <v>356</v>
      </c>
      <c r="Q112" s="39">
        <v>0</v>
      </c>
    </row>
    <row r="113" spans="1:17" x14ac:dyDescent="0.25">
      <c r="A113" t="s">
        <v>347</v>
      </c>
      <c r="B113" s="39" t="s">
        <v>407</v>
      </c>
      <c r="C113" t="s">
        <v>408</v>
      </c>
      <c r="D113" s="39" t="s">
        <v>411</v>
      </c>
      <c r="E113" t="s">
        <v>412</v>
      </c>
      <c r="F113" t="s">
        <v>352</v>
      </c>
      <c r="G113" t="s">
        <v>353</v>
      </c>
      <c r="H113" s="39">
        <v>2</v>
      </c>
      <c r="I113" s="39" t="s">
        <v>354</v>
      </c>
      <c r="J113" s="39" t="s">
        <v>355</v>
      </c>
      <c r="K113" s="39" t="s">
        <v>355</v>
      </c>
      <c r="L113" s="39" t="s">
        <v>355</v>
      </c>
      <c r="M113" s="39" t="s">
        <v>355</v>
      </c>
      <c r="N113" s="39" t="s">
        <v>355</v>
      </c>
      <c r="O113" s="39" t="s">
        <v>356</v>
      </c>
      <c r="P113" s="39" t="s">
        <v>357</v>
      </c>
      <c r="Q113" s="39">
        <v>0</v>
      </c>
    </row>
    <row r="114" spans="1:17" x14ac:dyDescent="0.25">
      <c r="A114" t="s">
        <v>347</v>
      </c>
      <c r="B114" s="39" t="s">
        <v>407</v>
      </c>
      <c r="C114" t="s">
        <v>408</v>
      </c>
      <c r="D114" s="39" t="s">
        <v>413</v>
      </c>
      <c r="E114" t="s">
        <v>414</v>
      </c>
      <c r="F114" t="s">
        <v>360</v>
      </c>
      <c r="G114" t="s">
        <v>361</v>
      </c>
      <c r="H114" s="39">
        <v>1</v>
      </c>
      <c r="I114" s="39" t="s">
        <v>354</v>
      </c>
      <c r="J114" s="39" t="s">
        <v>355</v>
      </c>
      <c r="K114" s="39" t="s">
        <v>355</v>
      </c>
      <c r="L114" s="39" t="s">
        <v>355</v>
      </c>
      <c r="M114" s="39" t="s">
        <v>355</v>
      </c>
      <c r="N114" s="39" t="s">
        <v>355</v>
      </c>
      <c r="O114" s="39" t="s">
        <v>355</v>
      </c>
      <c r="P114" s="39" t="s">
        <v>356</v>
      </c>
      <c r="Q114" s="39">
        <v>0</v>
      </c>
    </row>
    <row r="115" spans="1:17" x14ac:dyDescent="0.25">
      <c r="A115" t="s">
        <v>347</v>
      </c>
      <c r="B115" s="39" t="s">
        <v>407</v>
      </c>
      <c r="C115" t="s">
        <v>408</v>
      </c>
      <c r="D115" s="39" t="s">
        <v>415</v>
      </c>
      <c r="E115" t="s">
        <v>416</v>
      </c>
      <c r="F115" t="s">
        <v>397</v>
      </c>
      <c r="G115" t="s">
        <v>353</v>
      </c>
      <c r="H115" s="39">
        <v>2</v>
      </c>
      <c r="I115" s="39" t="s">
        <v>354</v>
      </c>
      <c r="J115" s="39" t="s">
        <v>355</v>
      </c>
      <c r="K115" s="39" t="s">
        <v>355</v>
      </c>
      <c r="L115" s="39" t="s">
        <v>355</v>
      </c>
      <c r="M115" s="39" t="s">
        <v>355</v>
      </c>
      <c r="N115" s="39" t="s">
        <v>355</v>
      </c>
      <c r="O115" s="39" t="s">
        <v>356</v>
      </c>
      <c r="P115" s="39" t="s">
        <v>362</v>
      </c>
      <c r="Q115" s="39">
        <v>1</v>
      </c>
    </row>
    <row r="116" spans="1:17" x14ac:dyDescent="0.25">
      <c r="A116" t="s">
        <v>347</v>
      </c>
      <c r="B116" s="39" t="s">
        <v>407</v>
      </c>
      <c r="C116" t="s">
        <v>408</v>
      </c>
      <c r="D116" s="39" t="s">
        <v>417</v>
      </c>
      <c r="E116" t="s">
        <v>418</v>
      </c>
      <c r="F116" t="s">
        <v>360</v>
      </c>
      <c r="G116" t="s">
        <v>353</v>
      </c>
      <c r="H116" s="39">
        <v>1</v>
      </c>
      <c r="I116" s="39" t="s">
        <v>354</v>
      </c>
      <c r="J116" s="39" t="s">
        <v>355</v>
      </c>
      <c r="K116" s="39" t="s">
        <v>355</v>
      </c>
      <c r="L116" s="39" t="s">
        <v>355</v>
      </c>
      <c r="M116" s="39" t="s">
        <v>355</v>
      </c>
      <c r="N116" s="39" t="s">
        <v>355</v>
      </c>
      <c r="O116" s="39" t="s">
        <v>355</v>
      </c>
      <c r="P116" s="39" t="s">
        <v>356</v>
      </c>
      <c r="Q116" s="39">
        <v>0</v>
      </c>
    </row>
    <row r="117" spans="1:17" x14ac:dyDescent="0.25">
      <c r="A117" t="s">
        <v>347</v>
      </c>
      <c r="B117" s="39" t="s">
        <v>407</v>
      </c>
      <c r="C117" t="s">
        <v>408</v>
      </c>
      <c r="D117" s="39" t="s">
        <v>419</v>
      </c>
      <c r="E117" t="s">
        <v>420</v>
      </c>
      <c r="F117" t="s">
        <v>360</v>
      </c>
      <c r="G117" t="s">
        <v>353</v>
      </c>
      <c r="H117" s="39">
        <v>1</v>
      </c>
      <c r="I117" s="39" t="s">
        <v>354</v>
      </c>
      <c r="J117" s="39" t="s">
        <v>355</v>
      </c>
      <c r="K117" s="39" t="s">
        <v>355</v>
      </c>
      <c r="L117" s="39" t="s">
        <v>355</v>
      </c>
      <c r="M117" s="39" t="s">
        <v>355</v>
      </c>
      <c r="N117" s="39" t="s">
        <v>355</v>
      </c>
      <c r="O117" s="39" t="s">
        <v>355</v>
      </c>
      <c r="P117" s="39" t="s">
        <v>356</v>
      </c>
      <c r="Q117" s="39">
        <v>0</v>
      </c>
    </row>
    <row r="118" spans="1:17" x14ac:dyDescent="0.25">
      <c r="A118" t="s">
        <v>347</v>
      </c>
      <c r="B118" s="39" t="s">
        <v>407</v>
      </c>
      <c r="C118" t="s">
        <v>408</v>
      </c>
      <c r="D118" s="39" t="s">
        <v>421</v>
      </c>
      <c r="E118" t="s">
        <v>422</v>
      </c>
      <c r="F118" t="s">
        <v>360</v>
      </c>
      <c r="G118" t="s">
        <v>353</v>
      </c>
      <c r="H118" s="39">
        <v>1</v>
      </c>
      <c r="I118" s="39" t="s">
        <v>354</v>
      </c>
      <c r="J118" s="39" t="s">
        <v>355</v>
      </c>
      <c r="K118" s="39" t="s">
        <v>355</v>
      </c>
      <c r="L118" s="39" t="s">
        <v>355</v>
      </c>
      <c r="M118" s="39" t="s">
        <v>355</v>
      </c>
      <c r="N118" s="39" t="s">
        <v>355</v>
      </c>
      <c r="O118" s="39" t="s">
        <v>355</v>
      </c>
      <c r="P118" s="39" t="s">
        <v>356</v>
      </c>
      <c r="Q118" s="39">
        <v>0</v>
      </c>
    </row>
    <row r="119" spans="1:17" x14ac:dyDescent="0.25">
      <c r="A119" t="s">
        <v>347</v>
      </c>
      <c r="B119" s="39" t="s">
        <v>407</v>
      </c>
      <c r="C119" t="s">
        <v>408</v>
      </c>
      <c r="D119" s="39" t="s">
        <v>423</v>
      </c>
      <c r="E119" t="s">
        <v>424</v>
      </c>
      <c r="F119" t="s">
        <v>352</v>
      </c>
      <c r="G119" t="s">
        <v>353</v>
      </c>
      <c r="H119" s="39">
        <v>2</v>
      </c>
      <c r="I119" s="39" t="s">
        <v>354</v>
      </c>
      <c r="J119" s="39" t="s">
        <v>355</v>
      </c>
      <c r="K119" s="39" t="s">
        <v>355</v>
      </c>
      <c r="L119" s="39" t="s">
        <v>355</v>
      </c>
      <c r="M119" s="39" t="s">
        <v>355</v>
      </c>
      <c r="N119" s="39" t="s">
        <v>355</v>
      </c>
      <c r="O119" s="39" t="s">
        <v>356</v>
      </c>
      <c r="P119" s="39" t="s">
        <v>357</v>
      </c>
      <c r="Q119" s="39">
        <v>0</v>
      </c>
    </row>
    <row r="120" spans="1:17" x14ac:dyDescent="0.25">
      <c r="A120" t="s">
        <v>425</v>
      </c>
      <c r="B120" s="39" t="s">
        <v>426</v>
      </c>
      <c r="C120" t="s">
        <v>427</v>
      </c>
      <c r="D120" s="39" t="s">
        <v>428</v>
      </c>
      <c r="E120" t="s">
        <v>429</v>
      </c>
      <c r="F120" t="s">
        <v>360</v>
      </c>
      <c r="G120" t="s">
        <v>353</v>
      </c>
      <c r="H120" s="39">
        <v>1</v>
      </c>
      <c r="I120" s="39" t="s">
        <v>354</v>
      </c>
      <c r="J120" s="39" t="s">
        <v>355</v>
      </c>
      <c r="K120" s="39" t="s">
        <v>355</v>
      </c>
      <c r="L120" s="39" t="s">
        <v>355</v>
      </c>
      <c r="M120" s="39" t="s">
        <v>355</v>
      </c>
      <c r="N120" s="39" t="s">
        <v>355</v>
      </c>
      <c r="O120" s="39" t="s">
        <v>355</v>
      </c>
      <c r="P120" s="39" t="s">
        <v>356</v>
      </c>
      <c r="Q120" s="39">
        <v>0</v>
      </c>
    </row>
    <row r="121" spans="1:17" x14ac:dyDescent="0.25">
      <c r="A121" t="s">
        <v>425</v>
      </c>
      <c r="B121" s="39" t="s">
        <v>426</v>
      </c>
      <c r="C121" t="s">
        <v>427</v>
      </c>
      <c r="D121" s="39" t="s">
        <v>430</v>
      </c>
      <c r="E121" t="s">
        <v>431</v>
      </c>
      <c r="F121" t="s">
        <v>352</v>
      </c>
      <c r="G121" t="s">
        <v>353</v>
      </c>
      <c r="H121" s="39">
        <v>2</v>
      </c>
      <c r="I121" s="39" t="s">
        <v>354</v>
      </c>
      <c r="J121" s="39" t="s">
        <v>355</v>
      </c>
      <c r="K121" s="39" t="s">
        <v>355</v>
      </c>
      <c r="L121" s="39" t="s">
        <v>355</v>
      </c>
      <c r="M121" s="39" t="s">
        <v>355</v>
      </c>
      <c r="N121" s="39" t="s">
        <v>355</v>
      </c>
      <c r="O121" s="39" t="s">
        <v>356</v>
      </c>
      <c r="P121" s="39" t="s">
        <v>357</v>
      </c>
      <c r="Q121" s="39">
        <v>0</v>
      </c>
    </row>
    <row r="122" spans="1:17" x14ac:dyDescent="0.25">
      <c r="A122" t="s">
        <v>347</v>
      </c>
      <c r="B122" s="39" t="s">
        <v>348</v>
      </c>
      <c r="C122" t="s">
        <v>349</v>
      </c>
      <c r="D122" s="39" t="s">
        <v>350</v>
      </c>
      <c r="E122" t="s">
        <v>351</v>
      </c>
      <c r="F122" t="s">
        <v>352</v>
      </c>
      <c r="G122" t="s">
        <v>353</v>
      </c>
      <c r="H122" s="39">
        <v>2</v>
      </c>
      <c r="I122" s="39" t="s">
        <v>354</v>
      </c>
      <c r="J122" s="39" t="s">
        <v>355</v>
      </c>
      <c r="K122" s="39" t="s">
        <v>355</v>
      </c>
      <c r="L122" s="39" t="s">
        <v>355</v>
      </c>
      <c r="M122" s="39" t="s">
        <v>355</v>
      </c>
      <c r="N122" s="39" t="s">
        <v>355</v>
      </c>
      <c r="O122" s="39" t="s">
        <v>356</v>
      </c>
      <c r="P122" s="39" t="s">
        <v>357</v>
      </c>
      <c r="Q122" s="39">
        <v>0</v>
      </c>
    </row>
    <row r="123" spans="1:17" x14ac:dyDescent="0.25">
      <c r="A123" t="s">
        <v>347</v>
      </c>
      <c r="B123" s="39" t="s">
        <v>348</v>
      </c>
      <c r="C123" t="s">
        <v>349</v>
      </c>
      <c r="D123" s="39" t="s">
        <v>358</v>
      </c>
      <c r="E123" t="s">
        <v>359</v>
      </c>
      <c r="F123" t="s">
        <v>360</v>
      </c>
      <c r="G123" t="s">
        <v>361</v>
      </c>
      <c r="H123" s="39">
        <v>1</v>
      </c>
      <c r="I123" s="39" t="s">
        <v>354</v>
      </c>
      <c r="J123" s="39" t="s">
        <v>356</v>
      </c>
      <c r="K123" s="39" t="s">
        <v>362</v>
      </c>
      <c r="L123" s="39" t="s">
        <v>357</v>
      </c>
      <c r="M123" s="39" t="s">
        <v>355</v>
      </c>
      <c r="N123" s="39" t="s">
        <v>355</v>
      </c>
      <c r="O123" s="39" t="s">
        <v>355</v>
      </c>
      <c r="P123" s="39" t="s">
        <v>356</v>
      </c>
      <c r="Q123" s="39">
        <v>0</v>
      </c>
    </row>
    <row r="124" spans="1:17" x14ac:dyDescent="0.25">
      <c r="A124" t="s">
        <v>347</v>
      </c>
      <c r="B124" s="39" t="s">
        <v>348</v>
      </c>
      <c r="C124" t="s">
        <v>349</v>
      </c>
      <c r="D124" s="39" t="s">
        <v>363</v>
      </c>
      <c r="E124" t="s">
        <v>364</v>
      </c>
      <c r="F124" t="s">
        <v>352</v>
      </c>
      <c r="G124" t="s">
        <v>353</v>
      </c>
      <c r="H124" s="39">
        <v>3</v>
      </c>
      <c r="I124" s="39" t="s">
        <v>354</v>
      </c>
      <c r="J124" s="39" t="s">
        <v>355</v>
      </c>
      <c r="K124" s="39" t="s">
        <v>355</v>
      </c>
      <c r="L124" s="39" t="s">
        <v>355</v>
      </c>
      <c r="M124" s="39" t="s">
        <v>355</v>
      </c>
      <c r="N124" s="39" t="s">
        <v>356</v>
      </c>
      <c r="O124" s="39" t="s">
        <v>362</v>
      </c>
      <c r="P124" s="39" t="s">
        <v>357</v>
      </c>
      <c r="Q124" s="39">
        <v>1</v>
      </c>
    </row>
    <row r="125" spans="1:17" x14ac:dyDescent="0.25">
      <c r="A125" t="s">
        <v>347</v>
      </c>
      <c r="B125" s="39" t="s">
        <v>348</v>
      </c>
      <c r="C125" t="s">
        <v>349</v>
      </c>
      <c r="D125" s="39" t="s">
        <v>365</v>
      </c>
      <c r="E125" t="s">
        <v>366</v>
      </c>
      <c r="F125" t="s">
        <v>360</v>
      </c>
      <c r="G125" t="s">
        <v>353</v>
      </c>
      <c r="H125" s="39">
        <v>1</v>
      </c>
      <c r="I125" s="39" t="s">
        <v>354</v>
      </c>
      <c r="J125" s="39" t="s">
        <v>355</v>
      </c>
      <c r="K125" s="39" t="s">
        <v>355</v>
      </c>
      <c r="L125" s="39" t="s">
        <v>355</v>
      </c>
      <c r="M125" s="39" t="s">
        <v>355</v>
      </c>
      <c r="N125" s="39" t="s">
        <v>355</v>
      </c>
      <c r="O125" s="39" t="s">
        <v>355</v>
      </c>
      <c r="P125" s="39" t="s">
        <v>356</v>
      </c>
      <c r="Q125" s="39">
        <v>0</v>
      </c>
    </row>
    <row r="126" spans="1:17" x14ac:dyDescent="0.25">
      <c r="A126" t="s">
        <v>347</v>
      </c>
      <c r="B126" s="39" t="s">
        <v>348</v>
      </c>
      <c r="C126" t="s">
        <v>349</v>
      </c>
      <c r="D126" s="39" t="s">
        <v>367</v>
      </c>
      <c r="E126" t="s">
        <v>368</v>
      </c>
      <c r="F126" t="s">
        <v>360</v>
      </c>
      <c r="G126" t="s">
        <v>353</v>
      </c>
      <c r="H126" s="39">
        <v>1</v>
      </c>
      <c r="I126" s="39" t="s">
        <v>354</v>
      </c>
      <c r="J126" s="39" t="s">
        <v>355</v>
      </c>
      <c r="K126" s="39" t="s">
        <v>355</v>
      </c>
      <c r="L126" s="39" t="s">
        <v>355</v>
      </c>
      <c r="M126" s="39" t="s">
        <v>355</v>
      </c>
      <c r="N126" s="39" t="s">
        <v>355</v>
      </c>
      <c r="O126" s="39" t="s">
        <v>355</v>
      </c>
      <c r="P126" s="39" t="s">
        <v>356</v>
      </c>
      <c r="Q126" s="39">
        <v>0</v>
      </c>
    </row>
    <row r="127" spans="1:17" x14ac:dyDescent="0.25">
      <c r="A127" t="s">
        <v>347</v>
      </c>
      <c r="B127" s="39" t="s">
        <v>348</v>
      </c>
      <c r="C127" t="s">
        <v>349</v>
      </c>
      <c r="D127" s="39" t="s">
        <v>369</v>
      </c>
      <c r="E127" t="s">
        <v>370</v>
      </c>
      <c r="F127" t="s">
        <v>352</v>
      </c>
      <c r="G127" t="s">
        <v>353</v>
      </c>
      <c r="H127" s="39">
        <v>4</v>
      </c>
      <c r="I127" s="39" t="s">
        <v>354</v>
      </c>
      <c r="J127" s="39" t="s">
        <v>355</v>
      </c>
      <c r="K127" s="39" t="s">
        <v>355</v>
      </c>
      <c r="L127" s="39" t="s">
        <v>355</v>
      </c>
      <c r="M127" s="39" t="s">
        <v>356</v>
      </c>
      <c r="N127" s="39" t="s">
        <v>357</v>
      </c>
      <c r="O127" s="39" t="s">
        <v>356</v>
      </c>
      <c r="P127" s="39" t="s">
        <v>357</v>
      </c>
      <c r="Q127" s="39">
        <v>1</v>
      </c>
    </row>
    <row r="128" spans="1:17" x14ac:dyDescent="0.25">
      <c r="A128" t="s">
        <v>347</v>
      </c>
      <c r="B128" s="39" t="s">
        <v>348</v>
      </c>
      <c r="C128" t="s">
        <v>349</v>
      </c>
      <c r="D128" s="39" t="s">
        <v>371</v>
      </c>
      <c r="E128" t="s">
        <v>372</v>
      </c>
      <c r="F128" t="s">
        <v>352</v>
      </c>
      <c r="G128" t="s">
        <v>353</v>
      </c>
      <c r="H128" s="39">
        <v>2</v>
      </c>
      <c r="I128" s="39" t="s">
        <v>354</v>
      </c>
      <c r="J128" s="39" t="s">
        <v>355</v>
      </c>
      <c r="K128" s="39" t="s">
        <v>355</v>
      </c>
      <c r="L128" s="39" t="s">
        <v>355</v>
      </c>
      <c r="M128" s="39" t="s">
        <v>355</v>
      </c>
      <c r="N128" s="39" t="s">
        <v>355</v>
      </c>
      <c r="O128" s="39" t="s">
        <v>356</v>
      </c>
      <c r="P128" s="39" t="s">
        <v>357</v>
      </c>
      <c r="Q128" s="39">
        <v>0</v>
      </c>
    </row>
    <row r="129" spans="1:17" x14ac:dyDescent="0.25">
      <c r="A129" t="s">
        <v>347</v>
      </c>
      <c r="B129" s="39" t="s">
        <v>348</v>
      </c>
      <c r="C129" t="s">
        <v>349</v>
      </c>
      <c r="D129" s="39" t="s">
        <v>373</v>
      </c>
      <c r="E129" t="s">
        <v>374</v>
      </c>
      <c r="F129" t="s">
        <v>352</v>
      </c>
      <c r="G129" t="s">
        <v>353</v>
      </c>
      <c r="H129" s="39">
        <v>5</v>
      </c>
      <c r="I129" s="39" t="s">
        <v>354</v>
      </c>
      <c r="J129" s="39" t="s">
        <v>355</v>
      </c>
      <c r="K129" s="39" t="s">
        <v>356</v>
      </c>
      <c r="L129" s="39" t="s">
        <v>356</v>
      </c>
      <c r="M129" s="39" t="s">
        <v>357</v>
      </c>
      <c r="N129" s="39" t="s">
        <v>356</v>
      </c>
      <c r="O129" s="39" t="s">
        <v>362</v>
      </c>
      <c r="P129" s="39" t="s">
        <v>357</v>
      </c>
      <c r="Q129" s="39">
        <v>2</v>
      </c>
    </row>
    <row r="130" spans="1:17" x14ac:dyDescent="0.25">
      <c r="A130" t="s">
        <v>347</v>
      </c>
      <c r="B130" s="39" t="s">
        <v>348</v>
      </c>
      <c r="C130" t="s">
        <v>349</v>
      </c>
      <c r="D130" s="39" t="s">
        <v>375</v>
      </c>
      <c r="E130" t="s">
        <v>376</v>
      </c>
      <c r="F130" t="s">
        <v>352</v>
      </c>
      <c r="G130" t="s">
        <v>353</v>
      </c>
      <c r="H130" s="39">
        <v>3</v>
      </c>
      <c r="I130" s="39" t="s">
        <v>354</v>
      </c>
      <c r="J130" s="39" t="s">
        <v>355</v>
      </c>
      <c r="K130" s="39" t="s">
        <v>355</v>
      </c>
      <c r="L130" s="39" t="s">
        <v>355</v>
      </c>
      <c r="M130" s="39" t="s">
        <v>355</v>
      </c>
      <c r="N130" s="39" t="s">
        <v>356</v>
      </c>
      <c r="O130" s="39" t="s">
        <v>362</v>
      </c>
      <c r="P130" s="39" t="s">
        <v>357</v>
      </c>
      <c r="Q130" s="39">
        <v>1</v>
      </c>
    </row>
    <row r="131" spans="1:17" x14ac:dyDescent="0.25">
      <c r="A131" t="s">
        <v>347</v>
      </c>
      <c r="B131" s="39" t="s">
        <v>348</v>
      </c>
      <c r="C131" t="s">
        <v>349</v>
      </c>
      <c r="D131" s="39" t="s">
        <v>377</v>
      </c>
      <c r="E131" t="s">
        <v>378</v>
      </c>
      <c r="F131" t="s">
        <v>360</v>
      </c>
      <c r="G131" t="s">
        <v>353</v>
      </c>
      <c r="H131" s="39">
        <v>1</v>
      </c>
      <c r="I131" s="39" t="s">
        <v>354</v>
      </c>
      <c r="J131" s="39" t="s">
        <v>355</v>
      </c>
      <c r="K131" s="39" t="s">
        <v>355</v>
      </c>
      <c r="L131" s="39" t="s">
        <v>355</v>
      </c>
      <c r="M131" s="39" t="s">
        <v>355</v>
      </c>
      <c r="N131" s="39" t="s">
        <v>355</v>
      </c>
      <c r="O131" s="39" t="s">
        <v>355</v>
      </c>
      <c r="P131" s="39" t="s">
        <v>356</v>
      </c>
      <c r="Q131" s="39">
        <v>0</v>
      </c>
    </row>
    <row r="132" spans="1:17" x14ac:dyDescent="0.25">
      <c r="A132" t="s">
        <v>347</v>
      </c>
      <c r="B132" s="39" t="s">
        <v>348</v>
      </c>
      <c r="C132" t="s">
        <v>349</v>
      </c>
      <c r="D132" s="39" t="s">
        <v>379</v>
      </c>
      <c r="E132" t="s">
        <v>380</v>
      </c>
      <c r="F132" t="s">
        <v>352</v>
      </c>
      <c r="G132" t="s">
        <v>353</v>
      </c>
      <c r="H132" s="39">
        <v>2</v>
      </c>
      <c r="I132" s="39" t="s">
        <v>354</v>
      </c>
      <c r="J132" s="39" t="s">
        <v>355</v>
      </c>
      <c r="K132" s="39" t="s">
        <v>355</v>
      </c>
      <c r="L132" s="39" t="s">
        <v>355</v>
      </c>
      <c r="M132" s="39" t="s">
        <v>355</v>
      </c>
      <c r="N132" s="39" t="s">
        <v>355</v>
      </c>
      <c r="O132" s="39" t="s">
        <v>356</v>
      </c>
      <c r="P132" s="39" t="s">
        <v>357</v>
      </c>
      <c r="Q132" s="39">
        <v>0</v>
      </c>
    </row>
    <row r="133" spans="1:17" x14ac:dyDescent="0.25">
      <c r="A133" t="s">
        <v>347</v>
      </c>
      <c r="B133" s="39" t="s">
        <v>348</v>
      </c>
      <c r="C133" t="s">
        <v>349</v>
      </c>
      <c r="D133" s="39" t="s">
        <v>381</v>
      </c>
      <c r="E133" t="s">
        <v>382</v>
      </c>
      <c r="F133" t="s">
        <v>360</v>
      </c>
      <c r="G133" t="s">
        <v>353</v>
      </c>
      <c r="H133" s="39">
        <v>1</v>
      </c>
      <c r="I133" s="39" t="s">
        <v>354</v>
      </c>
      <c r="J133" s="39" t="s">
        <v>355</v>
      </c>
      <c r="K133" s="39" t="s">
        <v>355</v>
      </c>
      <c r="L133" s="39" t="s">
        <v>355</v>
      </c>
      <c r="M133" s="39" t="s">
        <v>355</v>
      </c>
      <c r="N133" s="39" t="s">
        <v>355</v>
      </c>
      <c r="O133" s="39" t="s">
        <v>355</v>
      </c>
      <c r="P133" s="39" t="s">
        <v>356</v>
      </c>
      <c r="Q133" s="39">
        <v>0</v>
      </c>
    </row>
    <row r="134" spans="1:17" x14ac:dyDescent="0.25">
      <c r="A134" t="s">
        <v>347</v>
      </c>
      <c r="B134" s="39" t="s">
        <v>348</v>
      </c>
      <c r="C134" t="s">
        <v>349</v>
      </c>
      <c r="D134" s="39" t="s">
        <v>383</v>
      </c>
      <c r="E134" t="s">
        <v>384</v>
      </c>
      <c r="F134" t="s">
        <v>360</v>
      </c>
      <c r="G134" t="s">
        <v>353</v>
      </c>
      <c r="H134" s="39">
        <v>1</v>
      </c>
      <c r="I134" s="39" t="s">
        <v>354</v>
      </c>
      <c r="J134" s="39" t="s">
        <v>355</v>
      </c>
      <c r="K134" s="39" t="s">
        <v>355</v>
      </c>
      <c r="L134" s="39" t="s">
        <v>355</v>
      </c>
      <c r="M134" s="39" t="s">
        <v>355</v>
      </c>
      <c r="N134" s="39" t="s">
        <v>355</v>
      </c>
      <c r="O134" s="39" t="s">
        <v>355</v>
      </c>
      <c r="P134" s="39" t="s">
        <v>356</v>
      </c>
      <c r="Q134" s="39">
        <v>0</v>
      </c>
    </row>
    <row r="135" spans="1:17" x14ac:dyDescent="0.25">
      <c r="A135" t="s">
        <v>347</v>
      </c>
      <c r="B135" s="39" t="s">
        <v>348</v>
      </c>
      <c r="C135" t="s">
        <v>349</v>
      </c>
      <c r="D135" s="39" t="s">
        <v>385</v>
      </c>
      <c r="E135" t="s">
        <v>386</v>
      </c>
      <c r="F135" t="s">
        <v>352</v>
      </c>
      <c r="G135" t="s">
        <v>353</v>
      </c>
      <c r="H135" s="39">
        <v>2</v>
      </c>
      <c r="I135" s="39" t="s">
        <v>354</v>
      </c>
      <c r="J135" s="39" t="s">
        <v>355</v>
      </c>
      <c r="K135" s="39" t="s">
        <v>356</v>
      </c>
      <c r="L135" s="39" t="s">
        <v>356</v>
      </c>
      <c r="M135" s="39" t="s">
        <v>357</v>
      </c>
      <c r="N135" s="39" t="s">
        <v>355</v>
      </c>
      <c r="O135" s="39" t="s">
        <v>356</v>
      </c>
      <c r="P135" s="39" t="s">
        <v>357</v>
      </c>
      <c r="Q135" s="39">
        <v>0</v>
      </c>
    </row>
    <row r="136" spans="1:17" x14ac:dyDescent="0.25">
      <c r="A136" t="s">
        <v>347</v>
      </c>
      <c r="B136" s="39" t="s">
        <v>348</v>
      </c>
      <c r="C136" t="s">
        <v>349</v>
      </c>
      <c r="D136" s="39" t="s">
        <v>387</v>
      </c>
      <c r="E136" t="s">
        <v>388</v>
      </c>
      <c r="F136" t="s">
        <v>360</v>
      </c>
      <c r="G136" t="s">
        <v>353</v>
      </c>
      <c r="H136" s="39">
        <v>1</v>
      </c>
      <c r="I136" s="39" t="s">
        <v>354</v>
      </c>
      <c r="J136" s="39" t="s">
        <v>355</v>
      </c>
      <c r="K136" s="39" t="s">
        <v>355</v>
      </c>
      <c r="L136" s="39" t="s">
        <v>355</v>
      </c>
      <c r="M136" s="39" t="s">
        <v>355</v>
      </c>
      <c r="N136" s="39" t="s">
        <v>355</v>
      </c>
      <c r="O136" s="39" t="s">
        <v>355</v>
      </c>
      <c r="P136" s="39" t="s">
        <v>356</v>
      </c>
      <c r="Q136" s="39">
        <v>0</v>
      </c>
    </row>
    <row r="137" spans="1:17" x14ac:dyDescent="0.25">
      <c r="A137" t="s">
        <v>347</v>
      </c>
      <c r="B137" s="39" t="s">
        <v>348</v>
      </c>
      <c r="C137" t="s">
        <v>349</v>
      </c>
      <c r="D137" s="39" t="s">
        <v>389</v>
      </c>
      <c r="E137" t="s">
        <v>390</v>
      </c>
      <c r="F137" t="s">
        <v>352</v>
      </c>
      <c r="G137" t="s">
        <v>353</v>
      </c>
      <c r="H137" s="39">
        <v>2</v>
      </c>
      <c r="I137" s="39" t="s">
        <v>354</v>
      </c>
      <c r="J137" s="39" t="s">
        <v>355</v>
      </c>
      <c r="K137" s="39" t="s">
        <v>355</v>
      </c>
      <c r="L137" s="39" t="s">
        <v>355</v>
      </c>
      <c r="M137" s="39" t="s">
        <v>355</v>
      </c>
      <c r="N137" s="39" t="s">
        <v>355</v>
      </c>
      <c r="O137" s="39" t="s">
        <v>356</v>
      </c>
      <c r="P137" s="39" t="s">
        <v>357</v>
      </c>
      <c r="Q137" s="39">
        <v>0</v>
      </c>
    </row>
    <row r="138" spans="1:17" x14ac:dyDescent="0.25">
      <c r="A138" t="s">
        <v>347</v>
      </c>
      <c r="B138" s="39" t="s">
        <v>348</v>
      </c>
      <c r="C138" t="s">
        <v>349</v>
      </c>
      <c r="D138" s="39" t="s">
        <v>391</v>
      </c>
      <c r="E138" t="s">
        <v>392</v>
      </c>
      <c r="F138" t="s">
        <v>352</v>
      </c>
      <c r="G138" t="s">
        <v>353</v>
      </c>
      <c r="H138" s="39">
        <v>2</v>
      </c>
      <c r="I138" s="39" t="s">
        <v>354</v>
      </c>
      <c r="J138" s="39" t="s">
        <v>355</v>
      </c>
      <c r="K138" s="39" t="s">
        <v>355</v>
      </c>
      <c r="L138" s="39" t="s">
        <v>355</v>
      </c>
      <c r="M138" s="39" t="s">
        <v>355</v>
      </c>
      <c r="N138" s="39" t="s">
        <v>355</v>
      </c>
      <c r="O138" s="39" t="s">
        <v>356</v>
      </c>
      <c r="P138" s="39" t="s">
        <v>357</v>
      </c>
      <c r="Q138" s="39">
        <v>0</v>
      </c>
    </row>
    <row r="139" spans="1:17" x14ac:dyDescent="0.25">
      <c r="A139" t="s">
        <v>347</v>
      </c>
      <c r="B139" s="39" t="s">
        <v>348</v>
      </c>
      <c r="C139" t="s">
        <v>349</v>
      </c>
      <c r="D139" s="39" t="s">
        <v>393</v>
      </c>
      <c r="E139" t="s">
        <v>394</v>
      </c>
      <c r="F139" t="s">
        <v>352</v>
      </c>
      <c r="G139" t="s">
        <v>353</v>
      </c>
      <c r="H139" s="39">
        <v>2</v>
      </c>
      <c r="I139" s="39" t="s">
        <v>354</v>
      </c>
      <c r="J139" s="39" t="s">
        <v>355</v>
      </c>
      <c r="K139" s="39" t="s">
        <v>355</v>
      </c>
      <c r="L139" s="39" t="s">
        <v>355</v>
      </c>
      <c r="M139" s="39" t="s">
        <v>355</v>
      </c>
      <c r="N139" s="39" t="s">
        <v>355</v>
      </c>
      <c r="O139" s="39" t="s">
        <v>356</v>
      </c>
      <c r="P139" s="39" t="s">
        <v>357</v>
      </c>
      <c r="Q139" s="39">
        <v>0</v>
      </c>
    </row>
    <row r="140" spans="1:17" x14ac:dyDescent="0.25">
      <c r="A140" t="s">
        <v>347</v>
      </c>
      <c r="B140" s="39" t="s">
        <v>348</v>
      </c>
      <c r="C140" t="s">
        <v>349</v>
      </c>
      <c r="D140" s="39" t="s">
        <v>395</v>
      </c>
      <c r="E140" t="s">
        <v>396</v>
      </c>
      <c r="F140" t="s">
        <v>397</v>
      </c>
      <c r="G140" t="s">
        <v>398</v>
      </c>
      <c r="H140" s="39">
        <v>7</v>
      </c>
      <c r="I140" s="39" t="s">
        <v>355</v>
      </c>
      <c r="J140" s="39" t="s">
        <v>356</v>
      </c>
      <c r="K140" s="39" t="s">
        <v>362</v>
      </c>
      <c r="L140" s="39" t="s">
        <v>356</v>
      </c>
      <c r="M140" s="39" t="s">
        <v>362</v>
      </c>
      <c r="N140" s="39" t="s">
        <v>362</v>
      </c>
      <c r="O140" s="39" t="s">
        <v>362</v>
      </c>
      <c r="P140" s="39" t="s">
        <v>362</v>
      </c>
      <c r="Q140" s="39">
        <v>5</v>
      </c>
    </row>
    <row r="141" spans="1:17" x14ac:dyDescent="0.25">
      <c r="A141" t="s">
        <v>495</v>
      </c>
      <c r="B141" s="39" t="s">
        <v>514</v>
      </c>
      <c r="C141" t="s">
        <v>515</v>
      </c>
      <c r="D141" s="39" t="s">
        <v>516</v>
      </c>
      <c r="E141" t="s">
        <v>517</v>
      </c>
      <c r="F141" t="s">
        <v>352</v>
      </c>
      <c r="G141" t="s">
        <v>353</v>
      </c>
      <c r="H141" s="39">
        <v>2</v>
      </c>
      <c r="I141" s="39" t="s">
        <v>354</v>
      </c>
      <c r="J141" s="39" t="s">
        <v>355</v>
      </c>
      <c r="K141" s="39" t="s">
        <v>355</v>
      </c>
      <c r="L141" s="39" t="s">
        <v>355</v>
      </c>
      <c r="M141" s="39" t="s">
        <v>355</v>
      </c>
      <c r="N141" s="39" t="s">
        <v>355</v>
      </c>
      <c r="O141" s="39" t="s">
        <v>356</v>
      </c>
      <c r="P141" s="39" t="s">
        <v>357</v>
      </c>
      <c r="Q141" s="39">
        <v>0</v>
      </c>
    </row>
    <row r="142" spans="1:17" x14ac:dyDescent="0.25">
      <c r="A142" t="s">
        <v>495</v>
      </c>
      <c r="B142" s="39" t="s">
        <v>514</v>
      </c>
      <c r="C142" t="s">
        <v>515</v>
      </c>
      <c r="D142" s="39" t="s">
        <v>518</v>
      </c>
      <c r="E142" t="s">
        <v>519</v>
      </c>
      <c r="F142" t="s">
        <v>352</v>
      </c>
      <c r="G142" t="s">
        <v>353</v>
      </c>
      <c r="H142" s="39">
        <v>2</v>
      </c>
      <c r="I142" s="39" t="s">
        <v>354</v>
      </c>
      <c r="J142" s="39" t="s">
        <v>355</v>
      </c>
      <c r="K142" s="39" t="s">
        <v>355</v>
      </c>
      <c r="L142" s="39" t="s">
        <v>355</v>
      </c>
      <c r="M142" s="39" t="s">
        <v>355</v>
      </c>
      <c r="N142" s="39" t="s">
        <v>355</v>
      </c>
      <c r="O142" s="39" t="s">
        <v>356</v>
      </c>
      <c r="P142" s="39" t="s">
        <v>357</v>
      </c>
      <c r="Q142" s="39">
        <v>0</v>
      </c>
    </row>
    <row r="144" spans="1:17" ht="13.5" customHeight="1" x14ac:dyDescent="0.25"/>
  </sheetData>
  <autoFilter ref="A1:Q1" xr:uid="{09D90D9E-5131-40D7-AAAA-863D11DA16BA}">
    <sortState xmlns:xlrd2="http://schemas.microsoft.com/office/spreadsheetml/2017/richdata2" ref="A2:Q142">
      <sortCondition ref="C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4B44-B362-4BCA-9C76-34F19D48A57D}">
  <dimension ref="A1:I198"/>
  <sheetViews>
    <sheetView workbookViewId="0">
      <selection activeCell="K22" sqref="K22"/>
    </sheetView>
  </sheetViews>
  <sheetFormatPr defaultRowHeight="15" x14ac:dyDescent="0.25"/>
  <cols>
    <col min="1" max="9" width="14.42578125" customWidth="1"/>
  </cols>
  <sheetData>
    <row r="1" spans="1:9" x14ac:dyDescent="0.25">
      <c r="A1" s="37" t="s">
        <v>331</v>
      </c>
      <c r="B1" s="37" t="s">
        <v>332</v>
      </c>
      <c r="C1" s="37" t="s">
        <v>6</v>
      </c>
      <c r="D1" s="37" t="s">
        <v>333</v>
      </c>
      <c r="E1" s="37" t="s">
        <v>334</v>
      </c>
      <c r="F1" s="38" t="s">
        <v>335</v>
      </c>
      <c r="G1" s="37" t="s">
        <v>336</v>
      </c>
      <c r="H1" s="38" t="s">
        <v>337</v>
      </c>
      <c r="I1" s="38" t="s">
        <v>338</v>
      </c>
    </row>
    <row r="2" spans="1:9" x14ac:dyDescent="0.25">
      <c r="A2" t="s">
        <v>520</v>
      </c>
      <c r="B2" t="s">
        <v>527</v>
      </c>
      <c r="C2" t="s">
        <v>528</v>
      </c>
      <c r="D2" t="s">
        <v>889</v>
      </c>
      <c r="E2" t="s">
        <v>890</v>
      </c>
      <c r="F2" s="39" t="s">
        <v>684</v>
      </c>
      <c r="G2" t="s">
        <v>891</v>
      </c>
      <c r="H2" s="39">
        <v>0</v>
      </c>
      <c r="I2" s="39" t="s">
        <v>354</v>
      </c>
    </row>
    <row r="3" spans="1:9" x14ac:dyDescent="0.25">
      <c r="A3" t="s">
        <v>520</v>
      </c>
      <c r="B3" t="s">
        <v>527</v>
      </c>
      <c r="C3" t="s">
        <v>528</v>
      </c>
      <c r="D3" t="s">
        <v>892</v>
      </c>
      <c r="E3" t="s">
        <v>893</v>
      </c>
      <c r="F3" s="39" t="s">
        <v>684</v>
      </c>
      <c r="G3" t="s">
        <v>891</v>
      </c>
      <c r="H3" s="39">
        <v>0</v>
      </c>
      <c r="I3" s="39" t="s">
        <v>354</v>
      </c>
    </row>
    <row r="4" spans="1:9" x14ac:dyDescent="0.25">
      <c r="A4" t="s">
        <v>520</v>
      </c>
      <c r="B4" t="s">
        <v>527</v>
      </c>
      <c r="C4" t="s">
        <v>528</v>
      </c>
      <c r="D4" t="s">
        <v>894</v>
      </c>
      <c r="E4" t="s">
        <v>895</v>
      </c>
      <c r="F4" s="39" t="s">
        <v>684</v>
      </c>
      <c r="G4" t="s">
        <v>896</v>
      </c>
      <c r="H4" s="39">
        <v>0</v>
      </c>
      <c r="I4" s="39" t="s">
        <v>354</v>
      </c>
    </row>
    <row r="5" spans="1:9" x14ac:dyDescent="0.25">
      <c r="A5" t="s">
        <v>520</v>
      </c>
      <c r="B5" t="s">
        <v>527</v>
      </c>
      <c r="C5" t="s">
        <v>528</v>
      </c>
      <c r="D5" t="s">
        <v>897</v>
      </c>
      <c r="E5" t="s">
        <v>898</v>
      </c>
      <c r="F5" s="39" t="s">
        <v>684</v>
      </c>
      <c r="G5" t="s">
        <v>700</v>
      </c>
      <c r="H5" s="39">
        <v>0</v>
      </c>
      <c r="I5" s="39" t="s">
        <v>354</v>
      </c>
    </row>
    <row r="6" spans="1:9" x14ac:dyDescent="0.25">
      <c r="A6" t="s">
        <v>520</v>
      </c>
      <c r="B6" t="s">
        <v>527</v>
      </c>
      <c r="C6" t="s">
        <v>528</v>
      </c>
      <c r="D6" t="s">
        <v>899</v>
      </c>
      <c r="E6" t="s">
        <v>900</v>
      </c>
      <c r="F6" s="39" t="s">
        <v>684</v>
      </c>
      <c r="G6" t="s">
        <v>901</v>
      </c>
      <c r="H6" s="39">
        <v>0</v>
      </c>
      <c r="I6" s="39" t="s">
        <v>354</v>
      </c>
    </row>
    <row r="7" spans="1:9" x14ac:dyDescent="0.25">
      <c r="A7" t="s">
        <v>520</v>
      </c>
      <c r="B7" t="s">
        <v>527</v>
      </c>
      <c r="C7" t="s">
        <v>528</v>
      </c>
      <c r="D7" t="s">
        <v>902</v>
      </c>
      <c r="E7" t="s">
        <v>903</v>
      </c>
      <c r="F7" s="39" t="s">
        <v>684</v>
      </c>
      <c r="G7" t="s">
        <v>771</v>
      </c>
      <c r="H7" s="39">
        <v>0</v>
      </c>
      <c r="I7" s="39" t="s">
        <v>354</v>
      </c>
    </row>
    <row r="8" spans="1:9" x14ac:dyDescent="0.25">
      <c r="A8" t="s">
        <v>520</v>
      </c>
      <c r="B8" t="s">
        <v>527</v>
      </c>
      <c r="C8" t="s">
        <v>528</v>
      </c>
      <c r="D8" t="s">
        <v>904</v>
      </c>
      <c r="E8" t="s">
        <v>905</v>
      </c>
      <c r="F8" s="39" t="s">
        <v>684</v>
      </c>
      <c r="G8" t="s">
        <v>697</v>
      </c>
      <c r="H8" s="39">
        <v>0</v>
      </c>
      <c r="I8" s="39" t="s">
        <v>354</v>
      </c>
    </row>
    <row r="9" spans="1:9" x14ac:dyDescent="0.25">
      <c r="A9" t="s">
        <v>520</v>
      </c>
      <c r="B9" t="s">
        <v>527</v>
      </c>
      <c r="C9" t="s">
        <v>528</v>
      </c>
      <c r="D9" t="s">
        <v>906</v>
      </c>
      <c r="E9" t="s">
        <v>907</v>
      </c>
      <c r="F9" s="39" t="s">
        <v>684</v>
      </c>
      <c r="G9" t="s">
        <v>697</v>
      </c>
      <c r="H9" s="39">
        <v>0</v>
      </c>
      <c r="I9" s="39" t="s">
        <v>354</v>
      </c>
    </row>
    <row r="10" spans="1:9" x14ac:dyDescent="0.25">
      <c r="A10" t="s">
        <v>520</v>
      </c>
      <c r="B10" t="s">
        <v>527</v>
      </c>
      <c r="C10" t="s">
        <v>528</v>
      </c>
      <c r="D10" t="s">
        <v>908</v>
      </c>
      <c r="E10" t="s">
        <v>909</v>
      </c>
      <c r="F10" s="39" t="s">
        <v>684</v>
      </c>
      <c r="G10" t="s">
        <v>700</v>
      </c>
      <c r="H10" s="39">
        <v>0</v>
      </c>
      <c r="I10" s="39" t="s">
        <v>354</v>
      </c>
    </row>
    <row r="11" spans="1:9" x14ac:dyDescent="0.25">
      <c r="A11" t="s">
        <v>520</v>
      </c>
      <c r="B11" t="s">
        <v>527</v>
      </c>
      <c r="C11" t="s">
        <v>528</v>
      </c>
      <c r="D11" t="s">
        <v>910</v>
      </c>
      <c r="E11" t="s">
        <v>911</v>
      </c>
      <c r="F11" s="39" t="s">
        <v>684</v>
      </c>
      <c r="G11" t="s">
        <v>715</v>
      </c>
      <c r="H11" s="39">
        <v>0</v>
      </c>
      <c r="I11" s="39" t="s">
        <v>354</v>
      </c>
    </row>
    <row r="12" spans="1:9" x14ac:dyDescent="0.25">
      <c r="A12" t="s">
        <v>520</v>
      </c>
      <c r="B12" t="s">
        <v>527</v>
      </c>
      <c r="C12" t="s">
        <v>528</v>
      </c>
      <c r="D12" t="s">
        <v>912</v>
      </c>
      <c r="E12" t="s">
        <v>860</v>
      </c>
      <c r="F12" s="39" t="s">
        <v>684</v>
      </c>
      <c r="G12" t="s">
        <v>700</v>
      </c>
      <c r="H12" s="39">
        <v>0</v>
      </c>
      <c r="I12" s="39" t="s">
        <v>354</v>
      </c>
    </row>
    <row r="13" spans="1:9" x14ac:dyDescent="0.25">
      <c r="A13" t="s">
        <v>520</v>
      </c>
      <c r="B13" t="s">
        <v>527</v>
      </c>
      <c r="C13" t="s">
        <v>528</v>
      </c>
      <c r="D13" t="s">
        <v>913</v>
      </c>
      <c r="E13" t="s">
        <v>914</v>
      </c>
      <c r="F13" s="39" t="s">
        <v>684</v>
      </c>
      <c r="G13" t="s">
        <v>915</v>
      </c>
      <c r="H13" s="39">
        <v>0</v>
      </c>
      <c r="I13" s="39" t="s">
        <v>354</v>
      </c>
    </row>
    <row r="14" spans="1:9" x14ac:dyDescent="0.25">
      <c r="A14" t="s">
        <v>520</v>
      </c>
      <c r="B14" t="s">
        <v>527</v>
      </c>
      <c r="C14" t="s">
        <v>528</v>
      </c>
      <c r="D14" t="s">
        <v>916</v>
      </c>
      <c r="E14" t="s">
        <v>917</v>
      </c>
      <c r="F14" s="39" t="s">
        <v>684</v>
      </c>
      <c r="G14" t="s">
        <v>757</v>
      </c>
      <c r="H14" s="39">
        <v>0</v>
      </c>
      <c r="I14" s="39" t="s">
        <v>354</v>
      </c>
    </row>
    <row r="15" spans="1:9" x14ac:dyDescent="0.25">
      <c r="A15" t="s">
        <v>490</v>
      </c>
      <c r="B15" t="s">
        <v>583</v>
      </c>
      <c r="C15" t="s">
        <v>584</v>
      </c>
      <c r="D15" t="s">
        <v>999</v>
      </c>
      <c r="E15" t="s">
        <v>1000</v>
      </c>
      <c r="F15" s="39" t="s">
        <v>684</v>
      </c>
      <c r="G15" t="s">
        <v>891</v>
      </c>
      <c r="H15" s="39">
        <v>0</v>
      </c>
      <c r="I15" s="39" t="s">
        <v>354</v>
      </c>
    </row>
    <row r="16" spans="1:9" x14ac:dyDescent="0.25">
      <c r="A16" t="s">
        <v>490</v>
      </c>
      <c r="B16" t="s">
        <v>583</v>
      </c>
      <c r="C16" t="s">
        <v>584</v>
      </c>
      <c r="D16" t="s">
        <v>1001</v>
      </c>
      <c r="E16" t="s">
        <v>1002</v>
      </c>
      <c r="F16" s="39" t="s">
        <v>684</v>
      </c>
      <c r="G16" t="s">
        <v>1003</v>
      </c>
      <c r="H16" s="39">
        <v>0</v>
      </c>
      <c r="I16" s="39" t="s">
        <v>355</v>
      </c>
    </row>
    <row r="17" spans="1:9" x14ac:dyDescent="0.25">
      <c r="A17" t="s">
        <v>490</v>
      </c>
      <c r="B17" t="s">
        <v>583</v>
      </c>
      <c r="C17" t="s">
        <v>584</v>
      </c>
      <c r="D17" t="s">
        <v>1004</v>
      </c>
      <c r="E17" t="s">
        <v>1005</v>
      </c>
      <c r="F17" s="39" t="s">
        <v>684</v>
      </c>
      <c r="G17" t="s">
        <v>969</v>
      </c>
      <c r="H17" s="39">
        <v>0</v>
      </c>
      <c r="I17" s="39" t="s">
        <v>355</v>
      </c>
    </row>
    <row r="18" spans="1:9" x14ac:dyDescent="0.25">
      <c r="A18" t="s">
        <v>490</v>
      </c>
      <c r="B18" t="s">
        <v>583</v>
      </c>
      <c r="C18" t="s">
        <v>584</v>
      </c>
      <c r="D18" t="s">
        <v>1006</v>
      </c>
      <c r="E18" t="s">
        <v>1007</v>
      </c>
      <c r="F18" s="39" t="s">
        <v>684</v>
      </c>
      <c r="G18" t="s">
        <v>703</v>
      </c>
      <c r="H18" s="39">
        <v>0</v>
      </c>
      <c r="I18" s="39" t="s">
        <v>354</v>
      </c>
    </row>
    <row r="19" spans="1:9" x14ac:dyDescent="0.25">
      <c r="A19" t="s">
        <v>490</v>
      </c>
      <c r="B19" t="s">
        <v>583</v>
      </c>
      <c r="C19" t="s">
        <v>584</v>
      </c>
      <c r="D19" t="s">
        <v>1008</v>
      </c>
      <c r="E19" t="s">
        <v>1009</v>
      </c>
      <c r="F19" s="39" t="s">
        <v>684</v>
      </c>
      <c r="G19" t="s">
        <v>771</v>
      </c>
      <c r="H19" s="39">
        <v>0</v>
      </c>
      <c r="I19" s="39" t="s">
        <v>354</v>
      </c>
    </row>
    <row r="20" spans="1:9" x14ac:dyDescent="0.25">
      <c r="A20" t="s">
        <v>490</v>
      </c>
      <c r="B20" t="s">
        <v>583</v>
      </c>
      <c r="C20" t="s">
        <v>584</v>
      </c>
      <c r="D20" t="s">
        <v>1010</v>
      </c>
      <c r="E20" t="s">
        <v>1011</v>
      </c>
      <c r="F20" s="39" t="s">
        <v>684</v>
      </c>
      <c r="G20" t="s">
        <v>771</v>
      </c>
      <c r="H20" s="39">
        <v>0</v>
      </c>
      <c r="I20" s="39" t="s">
        <v>354</v>
      </c>
    </row>
    <row r="21" spans="1:9" x14ac:dyDescent="0.25">
      <c r="A21" t="s">
        <v>490</v>
      </c>
      <c r="B21" t="s">
        <v>583</v>
      </c>
      <c r="C21" t="s">
        <v>584</v>
      </c>
      <c r="D21" t="s">
        <v>1012</v>
      </c>
      <c r="E21" t="s">
        <v>1013</v>
      </c>
      <c r="F21" s="39" t="s">
        <v>684</v>
      </c>
      <c r="G21" t="s">
        <v>1014</v>
      </c>
      <c r="H21" s="39">
        <v>0</v>
      </c>
      <c r="I21" s="39" t="s">
        <v>354</v>
      </c>
    </row>
    <row r="22" spans="1:9" x14ac:dyDescent="0.25">
      <c r="A22" t="s">
        <v>490</v>
      </c>
      <c r="B22" t="s">
        <v>583</v>
      </c>
      <c r="C22" t="s">
        <v>584</v>
      </c>
      <c r="D22" t="s">
        <v>1015</v>
      </c>
      <c r="E22" t="s">
        <v>1016</v>
      </c>
      <c r="F22" s="39" t="s">
        <v>684</v>
      </c>
      <c r="G22" t="s">
        <v>715</v>
      </c>
      <c r="H22" s="39">
        <v>0</v>
      </c>
      <c r="I22" s="39" t="s">
        <v>354</v>
      </c>
    </row>
    <row r="23" spans="1:9" x14ac:dyDescent="0.25">
      <c r="A23" t="s">
        <v>490</v>
      </c>
      <c r="B23" t="s">
        <v>583</v>
      </c>
      <c r="C23" t="s">
        <v>584</v>
      </c>
      <c r="D23" t="s">
        <v>1017</v>
      </c>
      <c r="E23" t="s">
        <v>1018</v>
      </c>
      <c r="F23" s="39" t="s">
        <v>684</v>
      </c>
      <c r="G23" t="s">
        <v>1019</v>
      </c>
      <c r="H23" s="39">
        <v>0</v>
      </c>
      <c r="I23" s="39" t="s">
        <v>354</v>
      </c>
    </row>
    <row r="24" spans="1:9" x14ac:dyDescent="0.25">
      <c r="A24" t="s">
        <v>490</v>
      </c>
      <c r="B24" t="s">
        <v>583</v>
      </c>
      <c r="C24" t="s">
        <v>584</v>
      </c>
      <c r="D24" t="s">
        <v>1020</v>
      </c>
      <c r="E24" t="s">
        <v>1021</v>
      </c>
      <c r="F24" s="39" t="s">
        <v>684</v>
      </c>
      <c r="G24" t="s">
        <v>697</v>
      </c>
      <c r="H24" s="39">
        <v>0</v>
      </c>
      <c r="I24" s="39" t="s">
        <v>354</v>
      </c>
    </row>
    <row r="25" spans="1:9" x14ac:dyDescent="0.25">
      <c r="A25" t="s">
        <v>490</v>
      </c>
      <c r="B25" t="s">
        <v>583</v>
      </c>
      <c r="C25" t="s">
        <v>584</v>
      </c>
      <c r="D25" t="s">
        <v>1022</v>
      </c>
      <c r="E25" t="s">
        <v>1023</v>
      </c>
      <c r="F25" s="39" t="s">
        <v>684</v>
      </c>
      <c r="G25" t="s">
        <v>700</v>
      </c>
      <c r="H25" s="39">
        <v>0</v>
      </c>
      <c r="I25" s="39" t="s">
        <v>354</v>
      </c>
    </row>
    <row r="26" spans="1:9" x14ac:dyDescent="0.25">
      <c r="A26" t="s">
        <v>490</v>
      </c>
      <c r="B26" t="s">
        <v>583</v>
      </c>
      <c r="C26" t="s">
        <v>584</v>
      </c>
      <c r="D26" t="s">
        <v>1024</v>
      </c>
      <c r="E26" t="s">
        <v>1025</v>
      </c>
      <c r="F26" s="39" t="s">
        <v>684</v>
      </c>
      <c r="G26" t="s">
        <v>1026</v>
      </c>
      <c r="H26" s="39">
        <v>0</v>
      </c>
      <c r="I26" s="39" t="s">
        <v>354</v>
      </c>
    </row>
    <row r="27" spans="1:9" x14ac:dyDescent="0.25">
      <c r="A27" t="s">
        <v>490</v>
      </c>
      <c r="B27" t="s">
        <v>583</v>
      </c>
      <c r="C27" t="s">
        <v>584</v>
      </c>
      <c r="D27" t="s">
        <v>1027</v>
      </c>
      <c r="E27" t="s">
        <v>1028</v>
      </c>
      <c r="F27" s="39" t="s">
        <v>684</v>
      </c>
      <c r="G27" t="s">
        <v>697</v>
      </c>
      <c r="H27" s="39">
        <v>0</v>
      </c>
      <c r="I27" s="39" t="s">
        <v>354</v>
      </c>
    </row>
    <row r="28" spans="1:9" x14ac:dyDescent="0.25">
      <c r="A28" t="s">
        <v>490</v>
      </c>
      <c r="B28" t="s">
        <v>583</v>
      </c>
      <c r="C28" t="s">
        <v>584</v>
      </c>
      <c r="D28" t="s">
        <v>1029</v>
      </c>
      <c r="E28" t="s">
        <v>1030</v>
      </c>
      <c r="F28" s="39" t="s">
        <v>684</v>
      </c>
      <c r="G28" t="s">
        <v>757</v>
      </c>
      <c r="H28" s="39">
        <v>0</v>
      </c>
      <c r="I28" s="39" t="s">
        <v>354</v>
      </c>
    </row>
    <row r="29" spans="1:9" x14ac:dyDescent="0.25">
      <c r="A29" t="s">
        <v>490</v>
      </c>
      <c r="B29" t="s">
        <v>583</v>
      </c>
      <c r="C29" t="s">
        <v>584</v>
      </c>
      <c r="D29" t="s">
        <v>1031</v>
      </c>
      <c r="E29" t="s">
        <v>1032</v>
      </c>
      <c r="F29" s="39" t="s">
        <v>684</v>
      </c>
      <c r="G29" t="s">
        <v>1033</v>
      </c>
      <c r="H29" s="39">
        <v>0</v>
      </c>
      <c r="I29" s="39" t="s">
        <v>354</v>
      </c>
    </row>
    <row r="30" spans="1:9" x14ac:dyDescent="0.25">
      <c r="A30" t="s">
        <v>490</v>
      </c>
      <c r="B30" t="s">
        <v>583</v>
      </c>
      <c r="C30" t="s">
        <v>584</v>
      </c>
      <c r="D30" t="s">
        <v>1034</v>
      </c>
      <c r="E30" t="s">
        <v>1035</v>
      </c>
      <c r="F30" s="39" t="s">
        <v>684</v>
      </c>
      <c r="G30" t="s">
        <v>718</v>
      </c>
      <c r="H30" s="39">
        <v>0</v>
      </c>
      <c r="I30" s="39" t="s">
        <v>354</v>
      </c>
    </row>
    <row r="31" spans="1:9" x14ac:dyDescent="0.25">
      <c r="A31" t="s">
        <v>490</v>
      </c>
      <c r="B31" t="s">
        <v>583</v>
      </c>
      <c r="C31" t="s">
        <v>584</v>
      </c>
      <c r="D31" t="s">
        <v>1036</v>
      </c>
      <c r="E31" t="s">
        <v>1037</v>
      </c>
      <c r="F31" s="39" t="s">
        <v>684</v>
      </c>
      <c r="G31" t="s">
        <v>700</v>
      </c>
      <c r="H31" s="39">
        <v>0</v>
      </c>
      <c r="I31" s="39" t="s">
        <v>354</v>
      </c>
    </row>
    <row r="32" spans="1:9" x14ac:dyDescent="0.25">
      <c r="A32" t="s">
        <v>629</v>
      </c>
      <c r="B32" t="s">
        <v>630</v>
      </c>
      <c r="C32" t="s">
        <v>631</v>
      </c>
      <c r="D32" t="s">
        <v>1101</v>
      </c>
      <c r="E32" t="s">
        <v>1102</v>
      </c>
      <c r="F32" s="39" t="s">
        <v>684</v>
      </c>
      <c r="G32" t="s">
        <v>715</v>
      </c>
      <c r="H32" s="39">
        <v>0</v>
      </c>
      <c r="I32" s="39" t="s">
        <v>354</v>
      </c>
    </row>
    <row r="33" spans="1:9" x14ac:dyDescent="0.25">
      <c r="A33" t="s">
        <v>629</v>
      </c>
      <c r="B33" t="s">
        <v>630</v>
      </c>
      <c r="C33" t="s">
        <v>631</v>
      </c>
      <c r="D33" t="s">
        <v>1103</v>
      </c>
      <c r="E33" t="s">
        <v>1104</v>
      </c>
      <c r="F33" s="39" t="s">
        <v>684</v>
      </c>
      <c r="G33" t="s">
        <v>819</v>
      </c>
      <c r="H33" s="39">
        <v>0</v>
      </c>
      <c r="I33" s="39" t="s">
        <v>354</v>
      </c>
    </row>
    <row r="34" spans="1:9" x14ac:dyDescent="0.25">
      <c r="A34" t="s">
        <v>629</v>
      </c>
      <c r="B34" t="s">
        <v>630</v>
      </c>
      <c r="C34" t="s">
        <v>631</v>
      </c>
      <c r="D34" t="s">
        <v>1105</v>
      </c>
      <c r="E34" t="s">
        <v>1106</v>
      </c>
      <c r="F34" s="39" t="s">
        <v>684</v>
      </c>
      <c r="G34" t="s">
        <v>1107</v>
      </c>
      <c r="H34" s="39">
        <v>0</v>
      </c>
      <c r="I34" s="39" t="s">
        <v>354</v>
      </c>
    </row>
    <row r="35" spans="1:9" x14ac:dyDescent="0.25">
      <c r="A35" t="s">
        <v>629</v>
      </c>
      <c r="B35" t="s">
        <v>630</v>
      </c>
      <c r="C35" t="s">
        <v>631</v>
      </c>
      <c r="D35" t="s">
        <v>1108</v>
      </c>
      <c r="E35" t="s">
        <v>1109</v>
      </c>
      <c r="F35" s="39" t="s">
        <v>684</v>
      </c>
      <c r="G35" t="s">
        <v>936</v>
      </c>
      <c r="H35" s="39">
        <v>0</v>
      </c>
      <c r="I35" s="39" t="s">
        <v>354</v>
      </c>
    </row>
    <row r="36" spans="1:9" x14ac:dyDescent="0.25">
      <c r="A36" t="s">
        <v>629</v>
      </c>
      <c r="B36" t="s">
        <v>630</v>
      </c>
      <c r="C36" t="s">
        <v>631</v>
      </c>
      <c r="D36" t="s">
        <v>1110</v>
      </c>
      <c r="E36" t="s">
        <v>1111</v>
      </c>
      <c r="F36" s="39" t="s">
        <v>684</v>
      </c>
      <c r="G36" t="s">
        <v>936</v>
      </c>
      <c r="H36" s="39">
        <v>0</v>
      </c>
      <c r="I36" s="39" t="s">
        <v>354</v>
      </c>
    </row>
    <row r="37" spans="1:9" x14ac:dyDescent="0.25">
      <c r="A37" t="s">
        <v>629</v>
      </c>
      <c r="B37" t="s">
        <v>630</v>
      </c>
      <c r="C37" t="s">
        <v>631</v>
      </c>
      <c r="D37" t="s">
        <v>1112</v>
      </c>
      <c r="E37" t="s">
        <v>1113</v>
      </c>
      <c r="F37" s="39" t="s">
        <v>684</v>
      </c>
      <c r="G37" t="s">
        <v>685</v>
      </c>
      <c r="H37" s="39">
        <v>0</v>
      </c>
      <c r="I37" s="39" t="s">
        <v>354</v>
      </c>
    </row>
    <row r="38" spans="1:9" x14ac:dyDescent="0.25">
      <c r="A38" t="s">
        <v>629</v>
      </c>
      <c r="B38" t="s">
        <v>630</v>
      </c>
      <c r="C38" t="s">
        <v>631</v>
      </c>
      <c r="D38" t="s">
        <v>1114</v>
      </c>
      <c r="E38" t="s">
        <v>1115</v>
      </c>
      <c r="F38" s="39" t="s">
        <v>684</v>
      </c>
      <c r="G38" t="s">
        <v>831</v>
      </c>
      <c r="H38" s="39">
        <v>0</v>
      </c>
      <c r="I38" s="39" t="s">
        <v>354</v>
      </c>
    </row>
    <row r="39" spans="1:9" x14ac:dyDescent="0.25">
      <c r="A39" t="s">
        <v>629</v>
      </c>
      <c r="B39" t="s">
        <v>630</v>
      </c>
      <c r="C39" t="s">
        <v>631</v>
      </c>
      <c r="D39" t="s">
        <v>1116</v>
      </c>
      <c r="E39" t="s">
        <v>1117</v>
      </c>
      <c r="F39" s="39" t="s">
        <v>684</v>
      </c>
      <c r="G39" t="s">
        <v>936</v>
      </c>
      <c r="H39" s="39">
        <v>0</v>
      </c>
      <c r="I39" s="39" t="s">
        <v>355</v>
      </c>
    </row>
    <row r="40" spans="1:9" x14ac:dyDescent="0.25">
      <c r="A40" t="s">
        <v>629</v>
      </c>
      <c r="B40" t="s">
        <v>630</v>
      </c>
      <c r="C40" t="s">
        <v>631</v>
      </c>
      <c r="D40" t="s">
        <v>1118</v>
      </c>
      <c r="E40" t="s">
        <v>1119</v>
      </c>
      <c r="F40" s="39" t="s">
        <v>684</v>
      </c>
      <c r="G40" t="s">
        <v>771</v>
      </c>
      <c r="H40" s="39">
        <v>0</v>
      </c>
      <c r="I40" s="39" t="s">
        <v>354</v>
      </c>
    </row>
    <row r="41" spans="1:9" x14ac:dyDescent="0.25">
      <c r="A41" t="s">
        <v>629</v>
      </c>
      <c r="B41" t="s">
        <v>630</v>
      </c>
      <c r="C41" t="s">
        <v>631</v>
      </c>
      <c r="D41" t="s">
        <v>1120</v>
      </c>
      <c r="E41" t="s">
        <v>1121</v>
      </c>
      <c r="F41" s="39" t="s">
        <v>684</v>
      </c>
      <c r="G41" t="s">
        <v>901</v>
      </c>
      <c r="H41" s="39">
        <v>0</v>
      </c>
      <c r="I41" s="39" t="s">
        <v>354</v>
      </c>
    </row>
    <row r="42" spans="1:9" x14ac:dyDescent="0.25">
      <c r="A42" t="s">
        <v>629</v>
      </c>
      <c r="B42" t="s">
        <v>630</v>
      </c>
      <c r="C42" t="s">
        <v>631</v>
      </c>
      <c r="D42" t="s">
        <v>1122</v>
      </c>
      <c r="E42" t="s">
        <v>1123</v>
      </c>
      <c r="F42" s="39" t="s">
        <v>684</v>
      </c>
      <c r="G42" t="s">
        <v>700</v>
      </c>
      <c r="H42" s="39">
        <v>0</v>
      </c>
      <c r="I42" s="39" t="s">
        <v>354</v>
      </c>
    </row>
    <row r="43" spans="1:9" x14ac:dyDescent="0.25">
      <c r="A43" t="s">
        <v>629</v>
      </c>
      <c r="B43" t="s">
        <v>630</v>
      </c>
      <c r="C43" t="s">
        <v>631</v>
      </c>
      <c r="D43" t="s">
        <v>1124</v>
      </c>
      <c r="E43" t="s">
        <v>1125</v>
      </c>
      <c r="F43" s="39" t="s">
        <v>684</v>
      </c>
      <c r="G43" t="s">
        <v>700</v>
      </c>
      <c r="H43" s="39">
        <v>0</v>
      </c>
      <c r="I43" s="39" t="s">
        <v>354</v>
      </c>
    </row>
    <row r="44" spans="1:9" x14ac:dyDescent="0.25">
      <c r="A44" t="s">
        <v>629</v>
      </c>
      <c r="B44" t="s">
        <v>630</v>
      </c>
      <c r="C44" t="s">
        <v>631</v>
      </c>
      <c r="D44" t="s">
        <v>1126</v>
      </c>
      <c r="E44" t="s">
        <v>1127</v>
      </c>
      <c r="F44" s="39" t="s">
        <v>684</v>
      </c>
      <c r="G44" t="s">
        <v>685</v>
      </c>
      <c r="H44" s="39">
        <v>0</v>
      </c>
      <c r="I44" s="39" t="s">
        <v>354</v>
      </c>
    </row>
    <row r="45" spans="1:9" x14ac:dyDescent="0.25">
      <c r="A45" t="s">
        <v>629</v>
      </c>
      <c r="B45" t="s">
        <v>630</v>
      </c>
      <c r="C45" t="s">
        <v>631</v>
      </c>
      <c r="D45" t="s">
        <v>1128</v>
      </c>
      <c r="E45" t="s">
        <v>1129</v>
      </c>
      <c r="F45" s="39" t="s">
        <v>684</v>
      </c>
      <c r="G45" t="s">
        <v>715</v>
      </c>
      <c r="H45" s="39">
        <v>0</v>
      </c>
      <c r="I45" s="39" t="s">
        <v>354</v>
      </c>
    </row>
    <row r="46" spans="1:9" x14ac:dyDescent="0.25">
      <c r="A46" t="s">
        <v>563</v>
      </c>
      <c r="B46" t="s">
        <v>1130</v>
      </c>
      <c r="C46" t="s">
        <v>1131</v>
      </c>
      <c r="D46" t="s">
        <v>1132</v>
      </c>
      <c r="E46" t="s">
        <v>1133</v>
      </c>
      <c r="F46" s="39" t="s">
        <v>684</v>
      </c>
      <c r="G46" t="s">
        <v>700</v>
      </c>
      <c r="H46" s="39">
        <v>0</v>
      </c>
      <c r="I46" s="39" t="s">
        <v>354</v>
      </c>
    </row>
    <row r="47" spans="1:9" x14ac:dyDescent="0.25">
      <c r="A47" t="s">
        <v>563</v>
      </c>
      <c r="B47" t="s">
        <v>1130</v>
      </c>
      <c r="C47" t="s">
        <v>1131</v>
      </c>
      <c r="D47" t="s">
        <v>1134</v>
      </c>
      <c r="E47" t="s">
        <v>1135</v>
      </c>
      <c r="F47" s="39" t="s">
        <v>684</v>
      </c>
      <c r="G47" t="s">
        <v>924</v>
      </c>
      <c r="H47" s="39">
        <v>0</v>
      </c>
      <c r="I47" s="39" t="s">
        <v>354</v>
      </c>
    </row>
    <row r="48" spans="1:9" x14ac:dyDescent="0.25">
      <c r="A48" t="s">
        <v>563</v>
      </c>
      <c r="B48" t="s">
        <v>1130</v>
      </c>
      <c r="C48" t="s">
        <v>1131</v>
      </c>
      <c r="D48" t="s">
        <v>1136</v>
      </c>
      <c r="E48" t="s">
        <v>1137</v>
      </c>
      <c r="F48" s="39" t="s">
        <v>684</v>
      </c>
      <c r="G48" t="s">
        <v>697</v>
      </c>
      <c r="H48" s="39">
        <v>0</v>
      </c>
      <c r="I48" s="39" t="s">
        <v>354</v>
      </c>
    </row>
    <row r="49" spans="1:9" x14ac:dyDescent="0.25">
      <c r="A49" t="s">
        <v>578</v>
      </c>
      <c r="B49" t="s">
        <v>579</v>
      </c>
      <c r="C49" t="s">
        <v>580</v>
      </c>
      <c r="D49" t="s">
        <v>994</v>
      </c>
      <c r="E49" t="s">
        <v>668</v>
      </c>
      <c r="F49" s="39" t="s">
        <v>684</v>
      </c>
      <c r="G49" t="s">
        <v>819</v>
      </c>
      <c r="H49" s="39">
        <v>0</v>
      </c>
      <c r="I49" s="39" t="s">
        <v>354</v>
      </c>
    </row>
    <row r="50" spans="1:9" x14ac:dyDescent="0.25">
      <c r="A50" t="s">
        <v>578</v>
      </c>
      <c r="B50" t="s">
        <v>579</v>
      </c>
      <c r="C50" t="s">
        <v>580</v>
      </c>
      <c r="D50" t="s">
        <v>995</v>
      </c>
      <c r="E50" t="s">
        <v>996</v>
      </c>
      <c r="F50" s="39" t="s">
        <v>684</v>
      </c>
      <c r="G50" t="s">
        <v>754</v>
      </c>
      <c r="H50" s="39">
        <v>0</v>
      </c>
      <c r="I50" s="39" t="s">
        <v>354</v>
      </c>
    </row>
    <row r="51" spans="1:9" x14ac:dyDescent="0.25">
      <c r="A51" t="s">
        <v>578</v>
      </c>
      <c r="B51" t="s">
        <v>579</v>
      </c>
      <c r="C51" t="s">
        <v>580</v>
      </c>
      <c r="D51" t="s">
        <v>997</v>
      </c>
      <c r="E51" t="s">
        <v>998</v>
      </c>
      <c r="F51" s="39" t="s">
        <v>684</v>
      </c>
      <c r="G51" t="s">
        <v>697</v>
      </c>
      <c r="H51" s="39">
        <v>0</v>
      </c>
      <c r="I51" s="39" t="s">
        <v>354</v>
      </c>
    </row>
    <row r="52" spans="1:9" x14ac:dyDescent="0.25">
      <c r="A52" t="s">
        <v>520</v>
      </c>
      <c r="B52" t="s">
        <v>918</v>
      </c>
      <c r="C52" t="s">
        <v>919</v>
      </c>
      <c r="D52" t="s">
        <v>920</v>
      </c>
      <c r="E52" t="s">
        <v>921</v>
      </c>
      <c r="F52" s="39" t="s">
        <v>684</v>
      </c>
      <c r="G52" t="s">
        <v>700</v>
      </c>
      <c r="H52" s="39">
        <v>0</v>
      </c>
      <c r="I52" s="39" t="s">
        <v>354</v>
      </c>
    </row>
    <row r="53" spans="1:9" x14ac:dyDescent="0.25">
      <c r="A53" t="s">
        <v>520</v>
      </c>
      <c r="B53" t="s">
        <v>918</v>
      </c>
      <c r="C53" t="s">
        <v>919</v>
      </c>
      <c r="D53" t="s">
        <v>922</v>
      </c>
      <c r="E53" t="s">
        <v>923</v>
      </c>
      <c r="F53" s="39" t="s">
        <v>684</v>
      </c>
      <c r="G53" t="s">
        <v>924</v>
      </c>
      <c r="H53" s="39">
        <v>0</v>
      </c>
      <c r="I53" s="39" t="s">
        <v>354</v>
      </c>
    </row>
    <row r="54" spans="1:9" x14ac:dyDescent="0.25">
      <c r="A54" t="s">
        <v>520</v>
      </c>
      <c r="B54" t="s">
        <v>918</v>
      </c>
      <c r="C54" t="s">
        <v>919</v>
      </c>
      <c r="D54" t="s">
        <v>925</v>
      </c>
      <c r="E54" t="s">
        <v>926</v>
      </c>
      <c r="F54" s="39" t="s">
        <v>684</v>
      </c>
      <c r="G54" t="s">
        <v>741</v>
      </c>
      <c r="H54" s="39">
        <v>0</v>
      </c>
      <c r="I54" s="39" t="s">
        <v>354</v>
      </c>
    </row>
    <row r="55" spans="1:9" x14ac:dyDescent="0.25">
      <c r="A55" t="s">
        <v>520</v>
      </c>
      <c r="B55" t="s">
        <v>918</v>
      </c>
      <c r="C55" t="s">
        <v>919</v>
      </c>
      <c r="D55" t="s">
        <v>927</v>
      </c>
      <c r="E55" t="s">
        <v>928</v>
      </c>
      <c r="F55" s="39" t="s">
        <v>684</v>
      </c>
      <c r="G55" t="s">
        <v>771</v>
      </c>
      <c r="H55" s="39">
        <v>0</v>
      </c>
      <c r="I55" s="39" t="s">
        <v>354</v>
      </c>
    </row>
    <row r="56" spans="1:9" x14ac:dyDescent="0.25">
      <c r="A56" t="s">
        <v>520</v>
      </c>
      <c r="B56" t="s">
        <v>918</v>
      </c>
      <c r="C56" t="s">
        <v>919</v>
      </c>
      <c r="D56" t="s">
        <v>929</v>
      </c>
      <c r="E56" t="s">
        <v>930</v>
      </c>
      <c r="F56" s="39" t="s">
        <v>684</v>
      </c>
      <c r="G56" t="s">
        <v>931</v>
      </c>
      <c r="H56" s="39">
        <v>0</v>
      </c>
      <c r="I56" s="39" t="s">
        <v>354</v>
      </c>
    </row>
    <row r="57" spans="1:9" x14ac:dyDescent="0.25">
      <c r="A57" t="s">
        <v>520</v>
      </c>
      <c r="B57" t="s">
        <v>918</v>
      </c>
      <c r="C57" t="s">
        <v>919</v>
      </c>
      <c r="D57" t="s">
        <v>932</v>
      </c>
      <c r="E57" t="s">
        <v>933</v>
      </c>
      <c r="F57" s="39" t="s">
        <v>684</v>
      </c>
      <c r="G57" t="s">
        <v>697</v>
      </c>
      <c r="H57" s="39">
        <v>0</v>
      </c>
      <c r="I57" s="39" t="s">
        <v>354</v>
      </c>
    </row>
    <row r="58" spans="1:9" x14ac:dyDescent="0.25">
      <c r="A58" t="s">
        <v>520</v>
      </c>
      <c r="B58" t="s">
        <v>918</v>
      </c>
      <c r="C58" t="s">
        <v>919</v>
      </c>
      <c r="D58" t="s">
        <v>934</v>
      </c>
      <c r="E58" t="s">
        <v>935</v>
      </c>
      <c r="F58" s="39" t="s">
        <v>684</v>
      </c>
      <c r="G58" t="s">
        <v>936</v>
      </c>
      <c r="H58" s="39">
        <v>0</v>
      </c>
      <c r="I58" s="39" t="s">
        <v>354</v>
      </c>
    </row>
    <row r="59" spans="1:9" x14ac:dyDescent="0.25">
      <c r="A59" t="s">
        <v>520</v>
      </c>
      <c r="B59" t="s">
        <v>918</v>
      </c>
      <c r="C59" t="s">
        <v>919</v>
      </c>
      <c r="D59" t="s">
        <v>937</v>
      </c>
      <c r="E59" t="s">
        <v>938</v>
      </c>
      <c r="F59" s="39" t="s">
        <v>684</v>
      </c>
      <c r="G59" t="s">
        <v>700</v>
      </c>
      <c r="H59" s="39">
        <v>0</v>
      </c>
      <c r="I59" s="39" t="s">
        <v>354</v>
      </c>
    </row>
    <row r="60" spans="1:9" x14ac:dyDescent="0.25">
      <c r="A60" t="s">
        <v>520</v>
      </c>
      <c r="B60" t="s">
        <v>918</v>
      </c>
      <c r="C60" t="s">
        <v>919</v>
      </c>
      <c r="D60" t="s">
        <v>939</v>
      </c>
      <c r="E60" t="s">
        <v>940</v>
      </c>
      <c r="F60" s="39" t="s">
        <v>684</v>
      </c>
      <c r="G60" t="s">
        <v>762</v>
      </c>
      <c r="H60" s="39">
        <v>0</v>
      </c>
      <c r="I60" s="39" t="s">
        <v>354</v>
      </c>
    </row>
    <row r="61" spans="1:9" x14ac:dyDescent="0.25">
      <c r="A61" t="s">
        <v>425</v>
      </c>
      <c r="B61" t="s">
        <v>432</v>
      </c>
      <c r="C61" t="s">
        <v>433</v>
      </c>
      <c r="D61" t="s">
        <v>784</v>
      </c>
      <c r="E61" t="s">
        <v>785</v>
      </c>
      <c r="F61" s="39" t="s">
        <v>684</v>
      </c>
      <c r="G61" t="s">
        <v>786</v>
      </c>
      <c r="H61" s="39">
        <v>0</v>
      </c>
      <c r="I61" s="39" t="s">
        <v>354</v>
      </c>
    </row>
    <row r="62" spans="1:9" x14ac:dyDescent="0.25">
      <c r="A62" t="s">
        <v>425</v>
      </c>
      <c r="B62" t="s">
        <v>432</v>
      </c>
      <c r="C62" t="s">
        <v>433</v>
      </c>
      <c r="D62" t="s">
        <v>787</v>
      </c>
      <c r="E62" t="s">
        <v>788</v>
      </c>
      <c r="F62" s="39" t="s">
        <v>684</v>
      </c>
      <c r="G62" t="s">
        <v>789</v>
      </c>
      <c r="H62" s="39">
        <v>0</v>
      </c>
      <c r="I62" s="39" t="s">
        <v>354</v>
      </c>
    </row>
    <row r="63" spans="1:9" x14ac:dyDescent="0.25">
      <c r="A63" t="s">
        <v>425</v>
      </c>
      <c r="B63" t="s">
        <v>432</v>
      </c>
      <c r="C63" t="s">
        <v>433</v>
      </c>
      <c r="D63" t="s">
        <v>790</v>
      </c>
      <c r="E63" t="s">
        <v>791</v>
      </c>
      <c r="F63" s="39" t="s">
        <v>684</v>
      </c>
      <c r="G63" t="s">
        <v>685</v>
      </c>
      <c r="H63" s="39">
        <v>0</v>
      </c>
      <c r="I63" s="39" t="s">
        <v>354</v>
      </c>
    </row>
    <row r="64" spans="1:9" x14ac:dyDescent="0.25">
      <c r="A64" t="s">
        <v>425</v>
      </c>
      <c r="B64" t="s">
        <v>432</v>
      </c>
      <c r="C64" t="s">
        <v>433</v>
      </c>
      <c r="D64" t="s">
        <v>792</v>
      </c>
      <c r="E64" t="s">
        <v>793</v>
      </c>
      <c r="F64" s="39" t="s">
        <v>684</v>
      </c>
      <c r="G64" t="s">
        <v>697</v>
      </c>
      <c r="H64" s="39">
        <v>0</v>
      </c>
      <c r="I64" s="39" t="s">
        <v>354</v>
      </c>
    </row>
    <row r="65" spans="1:9" x14ac:dyDescent="0.25">
      <c r="A65" t="s">
        <v>425</v>
      </c>
      <c r="B65" t="s">
        <v>432</v>
      </c>
      <c r="C65" t="s">
        <v>433</v>
      </c>
      <c r="D65" t="s">
        <v>794</v>
      </c>
      <c r="E65" t="s">
        <v>795</v>
      </c>
      <c r="F65" s="39" t="s">
        <v>684</v>
      </c>
      <c r="G65" t="s">
        <v>697</v>
      </c>
      <c r="H65" s="39">
        <v>0</v>
      </c>
      <c r="I65" s="39" t="s">
        <v>354</v>
      </c>
    </row>
    <row r="66" spans="1:9" x14ac:dyDescent="0.25">
      <c r="A66" t="s">
        <v>425</v>
      </c>
      <c r="B66" t="s">
        <v>432</v>
      </c>
      <c r="C66" t="s">
        <v>433</v>
      </c>
      <c r="D66" t="s">
        <v>796</v>
      </c>
      <c r="E66" t="s">
        <v>797</v>
      </c>
      <c r="F66" s="39" t="s">
        <v>684</v>
      </c>
      <c r="G66" t="s">
        <v>697</v>
      </c>
      <c r="H66" s="39">
        <v>0</v>
      </c>
      <c r="I66" s="39" t="s">
        <v>354</v>
      </c>
    </row>
    <row r="67" spans="1:9" x14ac:dyDescent="0.25">
      <c r="A67" t="s">
        <v>425</v>
      </c>
      <c r="B67" t="s">
        <v>432</v>
      </c>
      <c r="C67" t="s">
        <v>433</v>
      </c>
      <c r="D67" t="s">
        <v>798</v>
      </c>
      <c r="E67" t="s">
        <v>799</v>
      </c>
      <c r="F67" s="39" t="s">
        <v>684</v>
      </c>
      <c r="G67" t="s">
        <v>786</v>
      </c>
      <c r="H67" s="39">
        <v>0</v>
      </c>
      <c r="I67" s="39" t="s">
        <v>354</v>
      </c>
    </row>
    <row r="68" spans="1:9" x14ac:dyDescent="0.25">
      <c r="A68" t="s">
        <v>425</v>
      </c>
      <c r="B68" t="s">
        <v>432</v>
      </c>
      <c r="C68" t="s">
        <v>433</v>
      </c>
      <c r="D68" t="s">
        <v>800</v>
      </c>
      <c r="E68" t="s">
        <v>801</v>
      </c>
      <c r="F68" s="39" t="s">
        <v>684</v>
      </c>
      <c r="G68" t="s">
        <v>700</v>
      </c>
      <c r="H68" s="39">
        <v>0</v>
      </c>
      <c r="I68" s="39" t="s">
        <v>354</v>
      </c>
    </row>
    <row r="69" spans="1:9" x14ac:dyDescent="0.25">
      <c r="A69" t="s">
        <v>425</v>
      </c>
      <c r="B69" t="s">
        <v>432</v>
      </c>
      <c r="C69" t="s">
        <v>433</v>
      </c>
      <c r="D69" t="s">
        <v>802</v>
      </c>
      <c r="E69" t="s">
        <v>803</v>
      </c>
      <c r="F69" s="39" t="s">
        <v>684</v>
      </c>
      <c r="G69" t="s">
        <v>700</v>
      </c>
      <c r="H69" s="39">
        <v>0</v>
      </c>
      <c r="I69" s="39" t="s">
        <v>354</v>
      </c>
    </row>
    <row r="70" spans="1:9" x14ac:dyDescent="0.25">
      <c r="A70" t="s">
        <v>425</v>
      </c>
      <c r="B70" t="s">
        <v>432</v>
      </c>
      <c r="C70" t="s">
        <v>433</v>
      </c>
      <c r="D70" t="s">
        <v>804</v>
      </c>
      <c r="E70" t="s">
        <v>805</v>
      </c>
      <c r="F70" s="39" t="s">
        <v>684</v>
      </c>
      <c r="G70" t="s">
        <v>697</v>
      </c>
      <c r="H70" s="39">
        <v>0</v>
      </c>
      <c r="I70" s="39" t="s">
        <v>354</v>
      </c>
    </row>
    <row r="71" spans="1:9" x14ac:dyDescent="0.25">
      <c r="A71" t="s">
        <v>425</v>
      </c>
      <c r="B71" t="s">
        <v>432</v>
      </c>
      <c r="C71" t="s">
        <v>433</v>
      </c>
      <c r="D71" t="s">
        <v>806</v>
      </c>
      <c r="E71" t="s">
        <v>807</v>
      </c>
      <c r="F71" s="39" t="s">
        <v>684</v>
      </c>
      <c r="G71" t="s">
        <v>741</v>
      </c>
      <c r="H71" s="39">
        <v>0</v>
      </c>
      <c r="I71" s="39" t="s">
        <v>354</v>
      </c>
    </row>
    <row r="72" spans="1:9" x14ac:dyDescent="0.25">
      <c r="A72" t="s">
        <v>425</v>
      </c>
      <c r="B72" t="s">
        <v>432</v>
      </c>
      <c r="C72" t="s">
        <v>433</v>
      </c>
      <c r="D72" t="s">
        <v>808</v>
      </c>
      <c r="E72" t="s">
        <v>809</v>
      </c>
      <c r="F72" s="39" t="s">
        <v>684</v>
      </c>
      <c r="G72" t="s">
        <v>697</v>
      </c>
      <c r="H72" s="39">
        <v>0</v>
      </c>
      <c r="I72" s="39" t="s">
        <v>354</v>
      </c>
    </row>
    <row r="73" spans="1:9" x14ac:dyDescent="0.25">
      <c r="A73" t="s">
        <v>490</v>
      </c>
      <c r="B73" t="s">
        <v>491</v>
      </c>
      <c r="C73" t="s">
        <v>492</v>
      </c>
      <c r="D73" t="s">
        <v>850</v>
      </c>
      <c r="E73" t="s">
        <v>851</v>
      </c>
      <c r="F73" s="39" t="s">
        <v>684</v>
      </c>
      <c r="G73" t="s">
        <v>697</v>
      </c>
      <c r="H73" s="39">
        <v>0</v>
      </c>
      <c r="I73" s="39" t="s">
        <v>354</v>
      </c>
    </row>
    <row r="74" spans="1:9" x14ac:dyDescent="0.25">
      <c r="A74" t="s">
        <v>490</v>
      </c>
      <c r="B74" t="s">
        <v>491</v>
      </c>
      <c r="C74" t="s">
        <v>492</v>
      </c>
      <c r="D74" t="s">
        <v>852</v>
      </c>
      <c r="E74" t="s">
        <v>853</v>
      </c>
      <c r="F74" s="39" t="s">
        <v>684</v>
      </c>
      <c r="G74" t="s">
        <v>854</v>
      </c>
      <c r="H74" s="39">
        <v>0</v>
      </c>
      <c r="I74" s="39" t="s">
        <v>354</v>
      </c>
    </row>
    <row r="75" spans="1:9" x14ac:dyDescent="0.25">
      <c r="A75" t="s">
        <v>490</v>
      </c>
      <c r="B75" t="s">
        <v>491</v>
      </c>
      <c r="C75" t="s">
        <v>492</v>
      </c>
      <c r="D75" t="s">
        <v>855</v>
      </c>
      <c r="E75" t="s">
        <v>856</v>
      </c>
      <c r="F75" s="39" t="s">
        <v>684</v>
      </c>
      <c r="G75" t="s">
        <v>685</v>
      </c>
      <c r="H75" s="39">
        <v>0</v>
      </c>
      <c r="I75" s="39" t="s">
        <v>354</v>
      </c>
    </row>
    <row r="76" spans="1:9" x14ac:dyDescent="0.25">
      <c r="A76" t="s">
        <v>490</v>
      </c>
      <c r="B76" t="s">
        <v>491</v>
      </c>
      <c r="C76" t="s">
        <v>492</v>
      </c>
      <c r="D76" t="s">
        <v>857</v>
      </c>
      <c r="E76" t="s">
        <v>858</v>
      </c>
      <c r="F76" s="39" t="s">
        <v>684</v>
      </c>
      <c r="G76" t="s">
        <v>831</v>
      </c>
      <c r="H76" s="39">
        <v>0</v>
      </c>
      <c r="I76" s="39" t="s">
        <v>355</v>
      </c>
    </row>
    <row r="77" spans="1:9" x14ac:dyDescent="0.25">
      <c r="A77" t="s">
        <v>490</v>
      </c>
      <c r="B77" t="s">
        <v>491</v>
      </c>
      <c r="C77" t="s">
        <v>492</v>
      </c>
      <c r="D77" t="s">
        <v>859</v>
      </c>
      <c r="E77" t="s">
        <v>860</v>
      </c>
      <c r="F77" s="39" t="s">
        <v>684</v>
      </c>
      <c r="G77" t="s">
        <v>819</v>
      </c>
      <c r="H77" s="39">
        <v>0</v>
      </c>
      <c r="I77" s="39" t="s">
        <v>354</v>
      </c>
    </row>
    <row r="78" spans="1:9" x14ac:dyDescent="0.25">
      <c r="A78" t="s">
        <v>495</v>
      </c>
      <c r="B78" t="s">
        <v>496</v>
      </c>
      <c r="C78" t="s">
        <v>497</v>
      </c>
      <c r="D78" t="s">
        <v>861</v>
      </c>
      <c r="E78" t="s">
        <v>862</v>
      </c>
      <c r="F78" s="39" t="s">
        <v>684</v>
      </c>
      <c r="G78" t="s">
        <v>700</v>
      </c>
      <c r="H78" s="39">
        <v>0</v>
      </c>
      <c r="I78" s="39" t="s">
        <v>354</v>
      </c>
    </row>
    <row r="79" spans="1:9" x14ac:dyDescent="0.25">
      <c r="A79" t="s">
        <v>495</v>
      </c>
      <c r="B79" t="s">
        <v>496</v>
      </c>
      <c r="C79" t="s">
        <v>497</v>
      </c>
      <c r="D79" t="s">
        <v>863</v>
      </c>
      <c r="E79" t="s">
        <v>864</v>
      </c>
      <c r="F79" s="39" t="s">
        <v>684</v>
      </c>
      <c r="G79" t="s">
        <v>723</v>
      </c>
      <c r="H79" s="39">
        <v>0</v>
      </c>
      <c r="I79" s="39" t="s">
        <v>354</v>
      </c>
    </row>
    <row r="80" spans="1:9" x14ac:dyDescent="0.25">
      <c r="A80" t="s">
        <v>495</v>
      </c>
      <c r="B80" t="s">
        <v>496</v>
      </c>
      <c r="C80" t="s">
        <v>497</v>
      </c>
      <c r="D80" t="s">
        <v>865</v>
      </c>
      <c r="E80" t="s">
        <v>866</v>
      </c>
      <c r="F80" s="39" t="s">
        <v>684</v>
      </c>
      <c r="G80" t="s">
        <v>822</v>
      </c>
      <c r="H80" s="39">
        <v>0</v>
      </c>
      <c r="I80" s="39" t="s">
        <v>354</v>
      </c>
    </row>
    <row r="81" spans="1:9" x14ac:dyDescent="0.25">
      <c r="A81" t="s">
        <v>495</v>
      </c>
      <c r="B81" t="s">
        <v>496</v>
      </c>
      <c r="C81" t="s">
        <v>497</v>
      </c>
      <c r="D81" t="s">
        <v>867</v>
      </c>
      <c r="E81" t="s">
        <v>868</v>
      </c>
      <c r="F81" s="39" t="s">
        <v>684</v>
      </c>
      <c r="G81" t="s">
        <v>869</v>
      </c>
      <c r="H81" s="39">
        <v>0</v>
      </c>
      <c r="I81" s="39" t="s">
        <v>354</v>
      </c>
    </row>
    <row r="82" spans="1:9" x14ac:dyDescent="0.25">
      <c r="A82" t="s">
        <v>495</v>
      </c>
      <c r="B82" t="s">
        <v>496</v>
      </c>
      <c r="C82" t="s">
        <v>497</v>
      </c>
      <c r="D82" t="s">
        <v>870</v>
      </c>
      <c r="E82" t="s">
        <v>871</v>
      </c>
      <c r="F82" s="39" t="s">
        <v>684</v>
      </c>
      <c r="G82" t="s">
        <v>697</v>
      </c>
      <c r="H82" s="39">
        <v>0</v>
      </c>
      <c r="I82" s="39" t="s">
        <v>354</v>
      </c>
    </row>
    <row r="83" spans="1:9" x14ac:dyDescent="0.25">
      <c r="A83" t="s">
        <v>495</v>
      </c>
      <c r="B83" t="s">
        <v>496</v>
      </c>
      <c r="C83" t="s">
        <v>497</v>
      </c>
      <c r="D83" t="s">
        <v>872</v>
      </c>
      <c r="E83" t="s">
        <v>873</v>
      </c>
      <c r="F83" s="39" t="s">
        <v>684</v>
      </c>
      <c r="G83" t="s">
        <v>697</v>
      </c>
      <c r="H83" s="39">
        <v>0</v>
      </c>
      <c r="I83" s="39" t="s">
        <v>354</v>
      </c>
    </row>
    <row r="84" spans="1:9" x14ac:dyDescent="0.25">
      <c r="A84" t="s">
        <v>520</v>
      </c>
      <c r="B84" t="s">
        <v>521</v>
      </c>
      <c r="C84" t="s">
        <v>522</v>
      </c>
      <c r="D84" t="s">
        <v>882</v>
      </c>
      <c r="E84" t="s">
        <v>883</v>
      </c>
      <c r="F84" s="39" t="s">
        <v>684</v>
      </c>
      <c r="G84" t="s">
        <v>884</v>
      </c>
      <c r="H84" s="39">
        <v>0</v>
      </c>
      <c r="I84" s="39" t="s">
        <v>355</v>
      </c>
    </row>
    <row r="85" spans="1:9" x14ac:dyDescent="0.25">
      <c r="A85" t="s">
        <v>520</v>
      </c>
      <c r="B85" t="s">
        <v>521</v>
      </c>
      <c r="C85" t="s">
        <v>522</v>
      </c>
      <c r="D85" t="s">
        <v>885</v>
      </c>
      <c r="E85" t="s">
        <v>886</v>
      </c>
      <c r="F85" s="39" t="s">
        <v>684</v>
      </c>
      <c r="G85" t="s">
        <v>697</v>
      </c>
      <c r="H85" s="39">
        <v>0</v>
      </c>
      <c r="I85" s="39" t="s">
        <v>354</v>
      </c>
    </row>
    <row r="86" spans="1:9" x14ac:dyDescent="0.25">
      <c r="A86" t="s">
        <v>520</v>
      </c>
      <c r="B86" t="s">
        <v>521</v>
      </c>
      <c r="C86" t="s">
        <v>522</v>
      </c>
      <c r="D86" t="s">
        <v>887</v>
      </c>
      <c r="E86" t="s">
        <v>888</v>
      </c>
      <c r="F86" s="39" t="s">
        <v>684</v>
      </c>
      <c r="G86" t="s">
        <v>831</v>
      </c>
      <c r="H86" s="39">
        <v>0</v>
      </c>
      <c r="I86" s="39" t="s">
        <v>355</v>
      </c>
    </row>
    <row r="87" spans="1:9" x14ac:dyDescent="0.25">
      <c r="A87" t="s">
        <v>490</v>
      </c>
      <c r="B87" t="s">
        <v>601</v>
      </c>
      <c r="C87" t="s">
        <v>602</v>
      </c>
      <c r="D87" t="s">
        <v>1038</v>
      </c>
      <c r="E87" t="s">
        <v>1039</v>
      </c>
      <c r="F87" s="39" t="s">
        <v>684</v>
      </c>
      <c r="G87" t="s">
        <v>1040</v>
      </c>
      <c r="H87" s="39">
        <v>0</v>
      </c>
      <c r="I87" s="39" t="s">
        <v>354</v>
      </c>
    </row>
    <row r="88" spans="1:9" x14ac:dyDescent="0.25">
      <c r="A88" t="s">
        <v>490</v>
      </c>
      <c r="B88" t="s">
        <v>601</v>
      </c>
      <c r="C88" t="s">
        <v>602</v>
      </c>
      <c r="D88" t="s">
        <v>1041</v>
      </c>
      <c r="E88" t="s">
        <v>1042</v>
      </c>
      <c r="F88" s="39" t="s">
        <v>684</v>
      </c>
      <c r="G88" t="s">
        <v>1043</v>
      </c>
      <c r="H88" s="39">
        <v>0</v>
      </c>
      <c r="I88" s="39" t="s">
        <v>354</v>
      </c>
    </row>
    <row r="89" spans="1:9" x14ac:dyDescent="0.25">
      <c r="A89" t="s">
        <v>490</v>
      </c>
      <c r="B89" t="s">
        <v>601</v>
      </c>
      <c r="C89" t="s">
        <v>602</v>
      </c>
      <c r="D89" t="s">
        <v>1044</v>
      </c>
      <c r="E89" t="s">
        <v>1045</v>
      </c>
      <c r="F89" s="39" t="s">
        <v>684</v>
      </c>
      <c r="G89" t="s">
        <v>700</v>
      </c>
      <c r="H89" s="39">
        <v>0</v>
      </c>
      <c r="I89" s="39" t="s">
        <v>354</v>
      </c>
    </row>
    <row r="90" spans="1:9" x14ac:dyDescent="0.25">
      <c r="A90" t="s">
        <v>490</v>
      </c>
      <c r="B90" t="s">
        <v>601</v>
      </c>
      <c r="C90" t="s">
        <v>602</v>
      </c>
      <c r="D90" t="s">
        <v>1046</v>
      </c>
      <c r="E90" t="s">
        <v>1047</v>
      </c>
      <c r="F90" s="39" t="s">
        <v>684</v>
      </c>
      <c r="G90" t="s">
        <v>915</v>
      </c>
      <c r="H90" s="39">
        <v>0</v>
      </c>
      <c r="I90" s="39" t="s">
        <v>354</v>
      </c>
    </row>
    <row r="91" spans="1:9" x14ac:dyDescent="0.25">
      <c r="A91" t="s">
        <v>490</v>
      </c>
      <c r="B91" t="s">
        <v>601</v>
      </c>
      <c r="C91" t="s">
        <v>602</v>
      </c>
      <c r="D91" t="s">
        <v>1048</v>
      </c>
      <c r="E91" t="s">
        <v>1049</v>
      </c>
      <c r="F91" s="39" t="s">
        <v>684</v>
      </c>
      <c r="G91" t="s">
        <v>819</v>
      </c>
      <c r="H91" s="39">
        <v>0</v>
      </c>
      <c r="I91" s="39" t="s">
        <v>354</v>
      </c>
    </row>
    <row r="92" spans="1:9" x14ac:dyDescent="0.25">
      <c r="A92" t="s">
        <v>490</v>
      </c>
      <c r="B92" t="s">
        <v>601</v>
      </c>
      <c r="C92" t="s">
        <v>602</v>
      </c>
      <c r="D92" t="s">
        <v>1050</v>
      </c>
      <c r="E92" t="s">
        <v>1051</v>
      </c>
      <c r="F92" s="39" t="s">
        <v>684</v>
      </c>
      <c r="G92" t="s">
        <v>697</v>
      </c>
      <c r="H92" s="39">
        <v>0</v>
      </c>
      <c r="I92" s="39" t="s">
        <v>354</v>
      </c>
    </row>
    <row r="93" spans="1:9" x14ac:dyDescent="0.25">
      <c r="A93" t="s">
        <v>490</v>
      </c>
      <c r="B93" t="s">
        <v>601</v>
      </c>
      <c r="C93" t="s">
        <v>602</v>
      </c>
      <c r="D93" t="s">
        <v>1052</v>
      </c>
      <c r="E93" t="s">
        <v>1053</v>
      </c>
      <c r="F93" s="39" t="s">
        <v>684</v>
      </c>
      <c r="G93" t="s">
        <v>1054</v>
      </c>
      <c r="H93" s="39">
        <v>0</v>
      </c>
      <c r="I93" s="39" t="s">
        <v>354</v>
      </c>
    </row>
    <row r="94" spans="1:9" x14ac:dyDescent="0.25">
      <c r="A94" t="s">
        <v>490</v>
      </c>
      <c r="B94" t="s">
        <v>601</v>
      </c>
      <c r="C94" t="s">
        <v>602</v>
      </c>
      <c r="D94" t="s">
        <v>1055</v>
      </c>
      <c r="E94" t="s">
        <v>1056</v>
      </c>
      <c r="F94" s="39" t="s">
        <v>684</v>
      </c>
      <c r="G94" t="s">
        <v>726</v>
      </c>
      <c r="H94" s="39">
        <v>0</v>
      </c>
      <c r="I94" s="39" t="s">
        <v>354</v>
      </c>
    </row>
    <row r="95" spans="1:9" x14ac:dyDescent="0.25">
      <c r="A95" t="s">
        <v>490</v>
      </c>
      <c r="B95" t="s">
        <v>601</v>
      </c>
      <c r="C95" t="s">
        <v>602</v>
      </c>
      <c r="D95" t="s">
        <v>1057</v>
      </c>
      <c r="E95" t="s">
        <v>1058</v>
      </c>
      <c r="F95" s="39" t="s">
        <v>684</v>
      </c>
      <c r="G95" t="s">
        <v>741</v>
      </c>
      <c r="H95" s="39">
        <v>0</v>
      </c>
      <c r="I95" s="39" t="s">
        <v>354</v>
      </c>
    </row>
    <row r="96" spans="1:9" x14ac:dyDescent="0.25">
      <c r="A96" t="s">
        <v>490</v>
      </c>
      <c r="B96" t="s">
        <v>601</v>
      </c>
      <c r="C96" t="s">
        <v>602</v>
      </c>
      <c r="D96" t="s">
        <v>1059</v>
      </c>
      <c r="E96" t="s">
        <v>1060</v>
      </c>
      <c r="F96" s="39" t="s">
        <v>684</v>
      </c>
      <c r="G96" t="s">
        <v>741</v>
      </c>
      <c r="H96" s="39">
        <v>0</v>
      </c>
      <c r="I96" s="39" t="s">
        <v>354</v>
      </c>
    </row>
    <row r="97" spans="1:9" x14ac:dyDescent="0.25">
      <c r="A97" t="s">
        <v>490</v>
      </c>
      <c r="B97" t="s">
        <v>601</v>
      </c>
      <c r="C97" t="s">
        <v>602</v>
      </c>
      <c r="D97" t="s">
        <v>1061</v>
      </c>
      <c r="E97" t="s">
        <v>1062</v>
      </c>
      <c r="F97" s="39" t="s">
        <v>684</v>
      </c>
      <c r="G97" t="s">
        <v>771</v>
      </c>
      <c r="H97" s="39">
        <v>0</v>
      </c>
      <c r="I97" s="39" t="s">
        <v>354</v>
      </c>
    </row>
    <row r="98" spans="1:9" x14ac:dyDescent="0.25">
      <c r="A98" t="s">
        <v>490</v>
      </c>
      <c r="B98" t="s">
        <v>601</v>
      </c>
      <c r="C98" t="s">
        <v>602</v>
      </c>
      <c r="D98" t="s">
        <v>1063</v>
      </c>
      <c r="E98" t="s">
        <v>1064</v>
      </c>
      <c r="F98" s="39" t="s">
        <v>684</v>
      </c>
      <c r="G98" t="s">
        <v>891</v>
      </c>
      <c r="H98" s="39">
        <v>0</v>
      </c>
      <c r="I98" s="39" t="s">
        <v>354</v>
      </c>
    </row>
    <row r="99" spans="1:9" x14ac:dyDescent="0.25">
      <c r="A99" t="s">
        <v>490</v>
      </c>
      <c r="B99" t="s">
        <v>601</v>
      </c>
      <c r="C99" t="s">
        <v>602</v>
      </c>
      <c r="D99" t="s">
        <v>1065</v>
      </c>
      <c r="E99" t="s">
        <v>1066</v>
      </c>
      <c r="F99" s="39" t="s">
        <v>684</v>
      </c>
      <c r="G99" t="s">
        <v>688</v>
      </c>
      <c r="H99" s="39">
        <v>0</v>
      </c>
      <c r="I99" s="39" t="s">
        <v>354</v>
      </c>
    </row>
    <row r="100" spans="1:9" x14ac:dyDescent="0.25">
      <c r="A100" t="s">
        <v>490</v>
      </c>
      <c r="B100" t="s">
        <v>601</v>
      </c>
      <c r="C100" t="s">
        <v>602</v>
      </c>
      <c r="D100" t="s">
        <v>1067</v>
      </c>
      <c r="E100" t="s">
        <v>1068</v>
      </c>
      <c r="F100" s="39" t="s">
        <v>684</v>
      </c>
      <c r="G100" t="s">
        <v>700</v>
      </c>
      <c r="H100" s="39">
        <v>0</v>
      </c>
      <c r="I100" s="39" t="s">
        <v>354</v>
      </c>
    </row>
    <row r="101" spans="1:9" x14ac:dyDescent="0.25">
      <c r="A101" t="s">
        <v>490</v>
      </c>
      <c r="B101" t="s">
        <v>601</v>
      </c>
      <c r="C101" t="s">
        <v>602</v>
      </c>
      <c r="D101" t="s">
        <v>1069</v>
      </c>
      <c r="E101" t="s">
        <v>1070</v>
      </c>
      <c r="F101" s="39" t="s">
        <v>684</v>
      </c>
      <c r="G101" t="s">
        <v>1054</v>
      </c>
      <c r="H101" s="39">
        <v>0</v>
      </c>
      <c r="I101" s="39" t="s">
        <v>354</v>
      </c>
    </row>
    <row r="102" spans="1:9" x14ac:dyDescent="0.25">
      <c r="A102" t="s">
        <v>490</v>
      </c>
      <c r="B102" t="s">
        <v>601</v>
      </c>
      <c r="C102" t="s">
        <v>602</v>
      </c>
      <c r="D102" t="s">
        <v>1071</v>
      </c>
      <c r="E102" t="s">
        <v>1072</v>
      </c>
      <c r="F102" s="39" t="s">
        <v>684</v>
      </c>
      <c r="G102" t="s">
        <v>700</v>
      </c>
      <c r="H102" s="39">
        <v>0</v>
      </c>
      <c r="I102" s="39" t="s">
        <v>354</v>
      </c>
    </row>
    <row r="103" spans="1:9" x14ac:dyDescent="0.25">
      <c r="A103" t="s">
        <v>490</v>
      </c>
      <c r="B103" t="s">
        <v>601</v>
      </c>
      <c r="C103" t="s">
        <v>602</v>
      </c>
      <c r="D103" t="s">
        <v>1073</v>
      </c>
      <c r="E103" t="s">
        <v>1074</v>
      </c>
      <c r="F103" s="39" t="s">
        <v>684</v>
      </c>
      <c r="G103" t="s">
        <v>924</v>
      </c>
      <c r="H103" s="39">
        <v>0</v>
      </c>
      <c r="I103" s="39" t="s">
        <v>354</v>
      </c>
    </row>
    <row r="104" spans="1:9" x14ac:dyDescent="0.25">
      <c r="A104" t="s">
        <v>490</v>
      </c>
      <c r="B104" t="s">
        <v>601</v>
      </c>
      <c r="C104" t="s">
        <v>602</v>
      </c>
      <c r="D104" t="s">
        <v>1075</v>
      </c>
      <c r="E104" t="s">
        <v>1076</v>
      </c>
      <c r="F104" s="39" t="s">
        <v>684</v>
      </c>
      <c r="G104" t="s">
        <v>915</v>
      </c>
      <c r="H104" s="39">
        <v>0</v>
      </c>
      <c r="I104" s="39" t="s">
        <v>354</v>
      </c>
    </row>
    <row r="105" spans="1:9" x14ac:dyDescent="0.25">
      <c r="A105" t="s">
        <v>490</v>
      </c>
      <c r="B105" t="s">
        <v>601</v>
      </c>
      <c r="C105" t="s">
        <v>602</v>
      </c>
      <c r="D105" t="s">
        <v>1077</v>
      </c>
      <c r="E105" t="s">
        <v>1078</v>
      </c>
      <c r="F105" s="39" t="s">
        <v>684</v>
      </c>
      <c r="G105" t="s">
        <v>757</v>
      </c>
      <c r="H105" s="39">
        <v>0</v>
      </c>
      <c r="I105" s="39" t="s">
        <v>354</v>
      </c>
    </row>
    <row r="106" spans="1:9" x14ac:dyDescent="0.25">
      <c r="A106" t="s">
        <v>490</v>
      </c>
      <c r="B106" t="s">
        <v>601</v>
      </c>
      <c r="C106" t="s">
        <v>602</v>
      </c>
      <c r="D106" t="s">
        <v>1079</v>
      </c>
      <c r="E106" t="s">
        <v>1080</v>
      </c>
      <c r="F106" s="39" t="s">
        <v>684</v>
      </c>
      <c r="G106" t="s">
        <v>697</v>
      </c>
      <c r="H106" s="39">
        <v>0</v>
      </c>
      <c r="I106" s="39" t="s">
        <v>354</v>
      </c>
    </row>
    <row r="107" spans="1:9" x14ac:dyDescent="0.25">
      <c r="A107" t="s">
        <v>490</v>
      </c>
      <c r="B107" t="s">
        <v>601</v>
      </c>
      <c r="C107" t="s">
        <v>602</v>
      </c>
      <c r="D107" t="s">
        <v>1081</v>
      </c>
      <c r="E107" t="s">
        <v>1082</v>
      </c>
      <c r="F107" s="39" t="s">
        <v>684</v>
      </c>
      <c r="G107" t="s">
        <v>771</v>
      </c>
      <c r="H107" s="39">
        <v>0</v>
      </c>
      <c r="I107" s="39" t="s">
        <v>354</v>
      </c>
    </row>
    <row r="108" spans="1:9" x14ac:dyDescent="0.25">
      <c r="A108" t="s">
        <v>490</v>
      </c>
      <c r="B108" t="s">
        <v>601</v>
      </c>
      <c r="C108" t="s">
        <v>602</v>
      </c>
      <c r="D108" t="s">
        <v>1083</v>
      </c>
      <c r="E108" t="s">
        <v>1084</v>
      </c>
      <c r="F108" s="39" t="s">
        <v>684</v>
      </c>
      <c r="G108" t="s">
        <v>697</v>
      </c>
      <c r="H108" s="39">
        <v>0</v>
      </c>
      <c r="I108" s="39" t="s">
        <v>354</v>
      </c>
    </row>
    <row r="109" spans="1:9" x14ac:dyDescent="0.25">
      <c r="A109" t="s">
        <v>490</v>
      </c>
      <c r="B109" t="s">
        <v>601</v>
      </c>
      <c r="C109" t="s">
        <v>602</v>
      </c>
      <c r="D109" t="s">
        <v>1085</v>
      </c>
      <c r="E109" t="s">
        <v>1086</v>
      </c>
      <c r="F109" s="39" t="s">
        <v>684</v>
      </c>
      <c r="G109" t="s">
        <v>1087</v>
      </c>
      <c r="H109" s="39">
        <v>0</v>
      </c>
      <c r="I109" s="39" t="s">
        <v>354</v>
      </c>
    </row>
    <row r="110" spans="1:9" x14ac:dyDescent="0.25">
      <c r="A110" t="s">
        <v>490</v>
      </c>
      <c r="B110" t="s">
        <v>601</v>
      </c>
      <c r="C110" t="s">
        <v>602</v>
      </c>
      <c r="D110" t="s">
        <v>1088</v>
      </c>
      <c r="E110" t="s">
        <v>1089</v>
      </c>
      <c r="F110" s="39" t="s">
        <v>684</v>
      </c>
      <c r="G110" t="s">
        <v>694</v>
      </c>
      <c r="H110" s="39">
        <v>0</v>
      </c>
      <c r="I110" s="39" t="s">
        <v>354</v>
      </c>
    </row>
    <row r="111" spans="1:9" x14ac:dyDescent="0.25">
      <c r="A111" t="s">
        <v>490</v>
      </c>
      <c r="B111" t="s">
        <v>601</v>
      </c>
      <c r="C111" t="s">
        <v>602</v>
      </c>
      <c r="D111" t="s">
        <v>1090</v>
      </c>
      <c r="E111" t="s">
        <v>1091</v>
      </c>
      <c r="F111" s="39" t="s">
        <v>684</v>
      </c>
      <c r="G111" t="s">
        <v>1092</v>
      </c>
      <c r="H111" s="39">
        <v>0</v>
      </c>
      <c r="I111" s="39" t="s">
        <v>354</v>
      </c>
    </row>
    <row r="112" spans="1:9" x14ac:dyDescent="0.25">
      <c r="A112" t="s">
        <v>490</v>
      </c>
      <c r="B112" t="s">
        <v>601</v>
      </c>
      <c r="C112" t="s">
        <v>602</v>
      </c>
      <c r="D112" t="s">
        <v>1093</v>
      </c>
      <c r="E112" t="s">
        <v>1094</v>
      </c>
      <c r="F112" s="39" t="s">
        <v>684</v>
      </c>
      <c r="G112" t="s">
        <v>779</v>
      </c>
      <c r="H112" s="39">
        <v>0</v>
      </c>
      <c r="I112" s="39" t="s">
        <v>354</v>
      </c>
    </row>
    <row r="113" spans="1:9" x14ac:dyDescent="0.25">
      <c r="A113" t="s">
        <v>490</v>
      </c>
      <c r="B113" t="s">
        <v>601</v>
      </c>
      <c r="C113" t="s">
        <v>602</v>
      </c>
      <c r="D113" t="s">
        <v>1095</v>
      </c>
      <c r="E113" t="s">
        <v>1096</v>
      </c>
      <c r="F113" s="39" t="s">
        <v>684</v>
      </c>
      <c r="G113" t="s">
        <v>771</v>
      </c>
      <c r="H113" s="39">
        <v>0</v>
      </c>
      <c r="I113" s="39" t="s">
        <v>354</v>
      </c>
    </row>
    <row r="114" spans="1:9" x14ac:dyDescent="0.25">
      <c r="A114" t="s">
        <v>490</v>
      </c>
      <c r="B114" t="s">
        <v>601</v>
      </c>
      <c r="C114" t="s">
        <v>602</v>
      </c>
      <c r="D114" t="s">
        <v>1097</v>
      </c>
      <c r="E114" t="s">
        <v>1098</v>
      </c>
      <c r="F114" s="39" t="s">
        <v>684</v>
      </c>
      <c r="G114" t="s">
        <v>915</v>
      </c>
      <c r="H114" s="39">
        <v>0</v>
      </c>
      <c r="I114" s="39" t="s">
        <v>354</v>
      </c>
    </row>
    <row r="115" spans="1:9" x14ac:dyDescent="0.25">
      <c r="A115" t="s">
        <v>490</v>
      </c>
      <c r="B115" t="s">
        <v>601</v>
      </c>
      <c r="C115" t="s">
        <v>602</v>
      </c>
      <c r="D115" t="s">
        <v>1099</v>
      </c>
      <c r="E115" t="s">
        <v>1100</v>
      </c>
      <c r="F115" s="39" t="s">
        <v>684</v>
      </c>
      <c r="G115" t="s">
        <v>936</v>
      </c>
      <c r="H115" s="39">
        <v>0</v>
      </c>
      <c r="I115" s="39" t="s">
        <v>354</v>
      </c>
    </row>
    <row r="116" spans="1:9" x14ac:dyDescent="0.25">
      <c r="A116" t="s">
        <v>425</v>
      </c>
      <c r="B116" t="s">
        <v>472</v>
      </c>
      <c r="C116" t="s">
        <v>473</v>
      </c>
      <c r="D116" t="s">
        <v>810</v>
      </c>
      <c r="E116" t="s">
        <v>811</v>
      </c>
      <c r="F116" s="39" t="s">
        <v>684</v>
      </c>
      <c r="G116" t="s">
        <v>685</v>
      </c>
      <c r="H116" s="39">
        <v>0</v>
      </c>
      <c r="I116" s="39" t="s">
        <v>354</v>
      </c>
    </row>
    <row r="117" spans="1:9" x14ac:dyDescent="0.25">
      <c r="A117" t="s">
        <v>425</v>
      </c>
      <c r="B117" t="s">
        <v>472</v>
      </c>
      <c r="C117" t="s">
        <v>473</v>
      </c>
      <c r="D117" t="s">
        <v>812</v>
      </c>
      <c r="E117" t="s">
        <v>813</v>
      </c>
      <c r="F117" s="39" t="s">
        <v>684</v>
      </c>
      <c r="G117" t="s">
        <v>697</v>
      </c>
      <c r="H117" s="39">
        <v>0</v>
      </c>
      <c r="I117" s="39" t="s">
        <v>354</v>
      </c>
    </row>
    <row r="118" spans="1:9" x14ac:dyDescent="0.25">
      <c r="A118" t="s">
        <v>425</v>
      </c>
      <c r="B118" t="s">
        <v>472</v>
      </c>
      <c r="C118" t="s">
        <v>473</v>
      </c>
      <c r="D118" t="s">
        <v>814</v>
      </c>
      <c r="E118" t="s">
        <v>815</v>
      </c>
      <c r="F118" s="39" t="s">
        <v>684</v>
      </c>
      <c r="G118" t="s">
        <v>816</v>
      </c>
      <c r="H118" s="39">
        <v>0</v>
      </c>
      <c r="I118" s="39" t="s">
        <v>354</v>
      </c>
    </row>
    <row r="119" spans="1:9" x14ac:dyDescent="0.25">
      <c r="A119" t="s">
        <v>425</v>
      </c>
      <c r="B119" t="s">
        <v>472</v>
      </c>
      <c r="C119" t="s">
        <v>473</v>
      </c>
      <c r="D119" t="s">
        <v>817</v>
      </c>
      <c r="E119" t="s">
        <v>818</v>
      </c>
      <c r="F119" s="39" t="s">
        <v>684</v>
      </c>
      <c r="G119" t="s">
        <v>819</v>
      </c>
      <c r="H119" s="39">
        <v>0</v>
      </c>
      <c r="I119" s="39" t="s">
        <v>354</v>
      </c>
    </row>
    <row r="120" spans="1:9" x14ac:dyDescent="0.25">
      <c r="A120" t="s">
        <v>425</v>
      </c>
      <c r="B120" t="s">
        <v>472</v>
      </c>
      <c r="C120" t="s">
        <v>473</v>
      </c>
      <c r="D120" t="s">
        <v>820</v>
      </c>
      <c r="E120" t="s">
        <v>821</v>
      </c>
      <c r="F120" s="39" t="s">
        <v>684</v>
      </c>
      <c r="G120" t="s">
        <v>822</v>
      </c>
      <c r="H120" s="39">
        <v>0</v>
      </c>
      <c r="I120" s="39" t="s">
        <v>354</v>
      </c>
    </row>
    <row r="121" spans="1:9" x14ac:dyDescent="0.25">
      <c r="A121" t="s">
        <v>425</v>
      </c>
      <c r="B121" t="s">
        <v>472</v>
      </c>
      <c r="C121" t="s">
        <v>473</v>
      </c>
      <c r="D121" t="s">
        <v>823</v>
      </c>
      <c r="E121" t="s">
        <v>824</v>
      </c>
      <c r="F121" s="39" t="s">
        <v>684</v>
      </c>
      <c r="G121" t="s">
        <v>697</v>
      </c>
      <c r="H121" s="39">
        <v>0</v>
      </c>
      <c r="I121" s="39" t="s">
        <v>354</v>
      </c>
    </row>
    <row r="122" spans="1:9" x14ac:dyDescent="0.25">
      <c r="A122" t="s">
        <v>425</v>
      </c>
      <c r="B122" t="s">
        <v>472</v>
      </c>
      <c r="C122" t="s">
        <v>473</v>
      </c>
      <c r="D122" t="s">
        <v>825</v>
      </c>
      <c r="E122" t="s">
        <v>826</v>
      </c>
      <c r="F122" s="39" t="s">
        <v>684</v>
      </c>
      <c r="G122" t="s">
        <v>697</v>
      </c>
      <c r="H122" s="39">
        <v>0</v>
      </c>
      <c r="I122" s="39" t="s">
        <v>354</v>
      </c>
    </row>
    <row r="123" spans="1:9" x14ac:dyDescent="0.25">
      <c r="A123" t="s">
        <v>425</v>
      </c>
      <c r="B123" t="s">
        <v>472</v>
      </c>
      <c r="C123" t="s">
        <v>473</v>
      </c>
      <c r="D123" t="s">
        <v>827</v>
      </c>
      <c r="E123" t="s">
        <v>828</v>
      </c>
      <c r="F123" s="39" t="s">
        <v>684</v>
      </c>
      <c r="G123" t="s">
        <v>697</v>
      </c>
      <c r="H123" s="39">
        <v>0</v>
      </c>
      <c r="I123" s="39" t="s">
        <v>354</v>
      </c>
    </row>
    <row r="124" spans="1:9" x14ac:dyDescent="0.25">
      <c r="A124" t="s">
        <v>425</v>
      </c>
      <c r="B124" t="s">
        <v>472</v>
      </c>
      <c r="C124" t="s">
        <v>473</v>
      </c>
      <c r="D124" t="s">
        <v>829</v>
      </c>
      <c r="E124" t="s">
        <v>830</v>
      </c>
      <c r="F124" s="39" t="s">
        <v>684</v>
      </c>
      <c r="G124" t="s">
        <v>831</v>
      </c>
      <c r="H124" s="39">
        <v>0</v>
      </c>
      <c r="I124" s="39" t="s">
        <v>354</v>
      </c>
    </row>
    <row r="125" spans="1:9" x14ac:dyDescent="0.25">
      <c r="A125" t="s">
        <v>425</v>
      </c>
      <c r="B125" t="s">
        <v>472</v>
      </c>
      <c r="C125" t="s">
        <v>473</v>
      </c>
      <c r="D125" t="s">
        <v>832</v>
      </c>
      <c r="E125" t="s">
        <v>833</v>
      </c>
      <c r="F125" s="39" t="s">
        <v>684</v>
      </c>
      <c r="G125" t="s">
        <v>831</v>
      </c>
      <c r="H125" s="39">
        <v>0</v>
      </c>
      <c r="I125" s="39" t="s">
        <v>354</v>
      </c>
    </row>
    <row r="126" spans="1:9" x14ac:dyDescent="0.25">
      <c r="A126" t="s">
        <v>520</v>
      </c>
      <c r="B126" t="s">
        <v>549</v>
      </c>
      <c r="C126" t="s">
        <v>550</v>
      </c>
      <c r="D126" t="s">
        <v>941</v>
      </c>
      <c r="E126" t="s">
        <v>942</v>
      </c>
      <c r="F126" s="39" t="s">
        <v>684</v>
      </c>
      <c r="G126" t="s">
        <v>697</v>
      </c>
      <c r="H126" s="39">
        <v>0</v>
      </c>
      <c r="I126" s="39" t="s">
        <v>354</v>
      </c>
    </row>
    <row r="127" spans="1:9" x14ac:dyDescent="0.25">
      <c r="A127" t="s">
        <v>520</v>
      </c>
      <c r="B127" t="s">
        <v>549</v>
      </c>
      <c r="C127" t="s">
        <v>550</v>
      </c>
      <c r="D127" t="s">
        <v>943</v>
      </c>
      <c r="E127" t="s">
        <v>944</v>
      </c>
      <c r="F127" s="39" t="s">
        <v>684</v>
      </c>
      <c r="G127" t="s">
        <v>718</v>
      </c>
      <c r="H127" s="39">
        <v>0</v>
      </c>
      <c r="I127" s="39" t="s">
        <v>354</v>
      </c>
    </row>
    <row r="128" spans="1:9" x14ac:dyDescent="0.25">
      <c r="A128" t="s">
        <v>520</v>
      </c>
      <c r="B128" t="s">
        <v>549</v>
      </c>
      <c r="C128" t="s">
        <v>550</v>
      </c>
      <c r="D128" t="s">
        <v>945</v>
      </c>
      <c r="E128" t="s">
        <v>946</v>
      </c>
      <c r="F128" s="39" t="s">
        <v>684</v>
      </c>
      <c r="G128" t="s">
        <v>831</v>
      </c>
      <c r="H128" s="39">
        <v>0</v>
      </c>
      <c r="I128" s="39" t="s">
        <v>354</v>
      </c>
    </row>
    <row r="129" spans="1:9" x14ac:dyDescent="0.25">
      <c r="A129" t="s">
        <v>520</v>
      </c>
      <c r="B129" t="s">
        <v>549</v>
      </c>
      <c r="C129" t="s">
        <v>550</v>
      </c>
      <c r="D129" t="s">
        <v>947</v>
      </c>
      <c r="E129" t="s">
        <v>948</v>
      </c>
      <c r="F129" s="39" t="s">
        <v>684</v>
      </c>
      <c r="G129" t="s">
        <v>700</v>
      </c>
      <c r="H129" s="39">
        <v>0</v>
      </c>
      <c r="I129" s="39" t="s">
        <v>354</v>
      </c>
    </row>
    <row r="130" spans="1:9" x14ac:dyDescent="0.25">
      <c r="A130" t="s">
        <v>520</v>
      </c>
      <c r="B130" t="s">
        <v>549</v>
      </c>
      <c r="C130" t="s">
        <v>550</v>
      </c>
      <c r="D130" t="s">
        <v>949</v>
      </c>
      <c r="E130" t="s">
        <v>950</v>
      </c>
      <c r="F130" s="39" t="s">
        <v>684</v>
      </c>
      <c r="G130" t="s">
        <v>700</v>
      </c>
      <c r="H130" s="39">
        <v>0</v>
      </c>
      <c r="I130" s="39" t="s">
        <v>354</v>
      </c>
    </row>
    <row r="131" spans="1:9" x14ac:dyDescent="0.25">
      <c r="A131" t="s">
        <v>520</v>
      </c>
      <c r="B131" t="s">
        <v>549</v>
      </c>
      <c r="C131" t="s">
        <v>550</v>
      </c>
      <c r="D131" t="s">
        <v>951</v>
      </c>
      <c r="E131" t="s">
        <v>952</v>
      </c>
      <c r="F131" s="39" t="s">
        <v>684</v>
      </c>
      <c r="G131" t="s">
        <v>741</v>
      </c>
      <c r="H131" s="39">
        <v>0</v>
      </c>
      <c r="I131" s="39" t="s">
        <v>354</v>
      </c>
    </row>
    <row r="132" spans="1:9" x14ac:dyDescent="0.25">
      <c r="A132" t="s">
        <v>520</v>
      </c>
      <c r="B132" t="s">
        <v>549</v>
      </c>
      <c r="C132" t="s">
        <v>550</v>
      </c>
      <c r="D132" t="s">
        <v>953</v>
      </c>
      <c r="E132" t="s">
        <v>954</v>
      </c>
      <c r="F132" s="39" t="s">
        <v>684</v>
      </c>
      <c r="G132" t="s">
        <v>831</v>
      </c>
      <c r="H132" s="39">
        <v>0</v>
      </c>
      <c r="I132" s="39" t="s">
        <v>354</v>
      </c>
    </row>
    <row r="133" spans="1:9" x14ac:dyDescent="0.25">
      <c r="A133" t="s">
        <v>520</v>
      </c>
      <c r="B133" t="s">
        <v>549</v>
      </c>
      <c r="C133" t="s">
        <v>550</v>
      </c>
      <c r="D133" t="s">
        <v>955</v>
      </c>
      <c r="E133" t="s">
        <v>956</v>
      </c>
      <c r="F133" s="39" t="s">
        <v>684</v>
      </c>
      <c r="G133" t="s">
        <v>831</v>
      </c>
      <c r="H133" s="39">
        <v>0</v>
      </c>
      <c r="I133" s="39" t="s">
        <v>354</v>
      </c>
    </row>
    <row r="134" spans="1:9" x14ac:dyDescent="0.25">
      <c r="A134" t="s">
        <v>520</v>
      </c>
      <c r="B134" t="s">
        <v>549</v>
      </c>
      <c r="C134" t="s">
        <v>550</v>
      </c>
      <c r="D134" t="s">
        <v>957</v>
      </c>
      <c r="E134" t="s">
        <v>958</v>
      </c>
      <c r="F134" s="39" t="s">
        <v>684</v>
      </c>
      <c r="G134" t="s">
        <v>757</v>
      </c>
      <c r="H134" s="39">
        <v>0</v>
      </c>
      <c r="I134" s="39" t="s">
        <v>354</v>
      </c>
    </row>
    <row r="135" spans="1:9" x14ac:dyDescent="0.25">
      <c r="A135" t="s">
        <v>520</v>
      </c>
      <c r="B135" t="s">
        <v>549</v>
      </c>
      <c r="C135" t="s">
        <v>550</v>
      </c>
      <c r="D135" t="s">
        <v>959</v>
      </c>
      <c r="E135" t="s">
        <v>960</v>
      </c>
      <c r="F135" s="39" t="s">
        <v>684</v>
      </c>
      <c r="G135" t="s">
        <v>697</v>
      </c>
      <c r="H135" s="39">
        <v>0</v>
      </c>
      <c r="I135" s="39" t="s">
        <v>354</v>
      </c>
    </row>
    <row r="136" spans="1:9" x14ac:dyDescent="0.25">
      <c r="A136" t="s">
        <v>520</v>
      </c>
      <c r="B136" t="s">
        <v>549</v>
      </c>
      <c r="C136" t="s">
        <v>550</v>
      </c>
      <c r="D136" t="s">
        <v>961</v>
      </c>
      <c r="E136" t="s">
        <v>962</v>
      </c>
      <c r="F136" s="39" t="s">
        <v>684</v>
      </c>
      <c r="G136" t="s">
        <v>715</v>
      </c>
      <c r="H136" s="39">
        <v>0</v>
      </c>
      <c r="I136" s="39" t="s">
        <v>354</v>
      </c>
    </row>
    <row r="137" spans="1:9" x14ac:dyDescent="0.25">
      <c r="A137" t="s">
        <v>520</v>
      </c>
      <c r="B137" t="s">
        <v>549</v>
      </c>
      <c r="C137" t="s">
        <v>550</v>
      </c>
      <c r="D137" t="s">
        <v>963</v>
      </c>
      <c r="E137" t="s">
        <v>964</v>
      </c>
      <c r="F137" s="39" t="s">
        <v>684</v>
      </c>
      <c r="G137" t="s">
        <v>700</v>
      </c>
      <c r="H137" s="39">
        <v>0</v>
      </c>
      <c r="I137" s="39" t="s">
        <v>354</v>
      </c>
    </row>
    <row r="138" spans="1:9" x14ac:dyDescent="0.25">
      <c r="A138" t="s">
        <v>520</v>
      </c>
      <c r="B138" t="s">
        <v>549</v>
      </c>
      <c r="C138" t="s">
        <v>550</v>
      </c>
      <c r="D138" t="s">
        <v>965</v>
      </c>
      <c r="E138" t="s">
        <v>966</v>
      </c>
      <c r="F138" s="39" t="s">
        <v>684</v>
      </c>
      <c r="G138" t="s">
        <v>685</v>
      </c>
      <c r="H138" s="39">
        <v>0</v>
      </c>
      <c r="I138" s="39" t="s">
        <v>354</v>
      </c>
    </row>
    <row r="139" spans="1:9" x14ac:dyDescent="0.25">
      <c r="A139" t="s">
        <v>520</v>
      </c>
      <c r="B139" t="s">
        <v>549</v>
      </c>
      <c r="C139" t="s">
        <v>550</v>
      </c>
      <c r="D139" t="s">
        <v>967</v>
      </c>
      <c r="E139" t="s">
        <v>968</v>
      </c>
      <c r="F139" s="39" t="s">
        <v>684</v>
      </c>
      <c r="G139" t="s">
        <v>969</v>
      </c>
      <c r="H139" s="39">
        <v>0</v>
      </c>
      <c r="I139" s="39" t="s">
        <v>354</v>
      </c>
    </row>
    <row r="140" spans="1:9" x14ac:dyDescent="0.25">
      <c r="A140" t="s">
        <v>520</v>
      </c>
      <c r="B140" t="s">
        <v>549</v>
      </c>
      <c r="C140" t="s">
        <v>550</v>
      </c>
      <c r="D140" t="s">
        <v>970</v>
      </c>
      <c r="E140" t="s">
        <v>971</v>
      </c>
      <c r="F140" s="39" t="s">
        <v>684</v>
      </c>
      <c r="G140" t="s">
        <v>697</v>
      </c>
      <c r="H140" s="39">
        <v>0</v>
      </c>
      <c r="I140" s="39" t="s">
        <v>354</v>
      </c>
    </row>
    <row r="141" spans="1:9" x14ac:dyDescent="0.25">
      <c r="A141" t="s">
        <v>520</v>
      </c>
      <c r="B141" t="s">
        <v>549</v>
      </c>
      <c r="C141" t="s">
        <v>550</v>
      </c>
      <c r="D141" t="s">
        <v>972</v>
      </c>
      <c r="E141" t="s">
        <v>973</v>
      </c>
      <c r="F141" s="39" t="s">
        <v>684</v>
      </c>
      <c r="G141" t="s">
        <v>789</v>
      </c>
      <c r="H141" s="39">
        <v>0</v>
      </c>
      <c r="I141" s="39" t="s">
        <v>354</v>
      </c>
    </row>
    <row r="142" spans="1:9" x14ac:dyDescent="0.25">
      <c r="A142" t="s">
        <v>520</v>
      </c>
      <c r="B142" t="s">
        <v>549</v>
      </c>
      <c r="C142" t="s">
        <v>550</v>
      </c>
      <c r="D142" t="s">
        <v>974</v>
      </c>
      <c r="E142" t="s">
        <v>975</v>
      </c>
      <c r="F142" s="39" t="s">
        <v>684</v>
      </c>
      <c r="G142" t="s">
        <v>700</v>
      </c>
      <c r="H142" s="39">
        <v>0</v>
      </c>
      <c r="I142" s="39" t="s">
        <v>354</v>
      </c>
    </row>
    <row r="143" spans="1:9" x14ac:dyDescent="0.25">
      <c r="A143" t="s">
        <v>425</v>
      </c>
      <c r="B143" t="s">
        <v>476</v>
      </c>
      <c r="C143" t="s">
        <v>477</v>
      </c>
      <c r="D143" t="s">
        <v>834</v>
      </c>
      <c r="E143" t="s">
        <v>835</v>
      </c>
      <c r="F143" s="39" t="s">
        <v>684</v>
      </c>
      <c r="G143" t="s">
        <v>731</v>
      </c>
      <c r="H143" s="39">
        <v>0</v>
      </c>
      <c r="I143" s="39" t="s">
        <v>355</v>
      </c>
    </row>
    <row r="144" spans="1:9" x14ac:dyDescent="0.25">
      <c r="A144" t="s">
        <v>425</v>
      </c>
      <c r="B144" t="s">
        <v>476</v>
      </c>
      <c r="C144" t="s">
        <v>477</v>
      </c>
      <c r="D144" t="s">
        <v>836</v>
      </c>
      <c r="E144" t="s">
        <v>837</v>
      </c>
      <c r="F144" s="39" t="s">
        <v>684</v>
      </c>
      <c r="G144" t="s">
        <v>741</v>
      </c>
      <c r="H144" s="39">
        <v>0</v>
      </c>
      <c r="I144" s="39" t="s">
        <v>354</v>
      </c>
    </row>
    <row r="145" spans="1:9" x14ac:dyDescent="0.25">
      <c r="A145" t="s">
        <v>425</v>
      </c>
      <c r="B145" t="s">
        <v>476</v>
      </c>
      <c r="C145" t="s">
        <v>477</v>
      </c>
      <c r="D145" t="s">
        <v>838</v>
      </c>
      <c r="E145" t="s">
        <v>839</v>
      </c>
      <c r="F145" s="39" t="s">
        <v>684</v>
      </c>
      <c r="G145" t="s">
        <v>697</v>
      </c>
      <c r="H145" s="39">
        <v>0</v>
      </c>
      <c r="I145" s="39" t="s">
        <v>354</v>
      </c>
    </row>
    <row r="146" spans="1:9" x14ac:dyDescent="0.25">
      <c r="A146" t="s">
        <v>425</v>
      </c>
      <c r="B146" t="s">
        <v>476</v>
      </c>
      <c r="C146" t="s">
        <v>477</v>
      </c>
      <c r="D146" t="s">
        <v>840</v>
      </c>
      <c r="E146" t="s">
        <v>647</v>
      </c>
      <c r="F146" s="39" t="s">
        <v>684</v>
      </c>
      <c r="G146" t="s">
        <v>697</v>
      </c>
      <c r="H146" s="39">
        <v>0</v>
      </c>
      <c r="I146" s="39" t="s">
        <v>354</v>
      </c>
    </row>
    <row r="147" spans="1:9" x14ac:dyDescent="0.25">
      <c r="A147" t="s">
        <v>425</v>
      </c>
      <c r="B147" t="s">
        <v>476</v>
      </c>
      <c r="C147" t="s">
        <v>477</v>
      </c>
      <c r="D147" t="s">
        <v>841</v>
      </c>
      <c r="E147" t="s">
        <v>842</v>
      </c>
      <c r="F147" s="39" t="s">
        <v>684</v>
      </c>
      <c r="G147" t="s">
        <v>771</v>
      </c>
      <c r="H147" s="39">
        <v>0</v>
      </c>
      <c r="I147" s="39" t="s">
        <v>354</v>
      </c>
    </row>
    <row r="148" spans="1:9" x14ac:dyDescent="0.25">
      <c r="A148" t="s">
        <v>425</v>
      </c>
      <c r="B148" t="s">
        <v>476</v>
      </c>
      <c r="C148" t="s">
        <v>477</v>
      </c>
      <c r="D148" t="s">
        <v>843</v>
      </c>
      <c r="E148" t="s">
        <v>844</v>
      </c>
      <c r="F148" s="39" t="s">
        <v>684</v>
      </c>
      <c r="G148" t="s">
        <v>786</v>
      </c>
      <c r="H148" s="39">
        <v>0</v>
      </c>
      <c r="I148" s="39" t="s">
        <v>354</v>
      </c>
    </row>
    <row r="149" spans="1:9" x14ac:dyDescent="0.25">
      <c r="A149" t="s">
        <v>425</v>
      </c>
      <c r="B149" t="s">
        <v>476</v>
      </c>
      <c r="C149" t="s">
        <v>477</v>
      </c>
      <c r="D149" t="s">
        <v>845</v>
      </c>
      <c r="E149" t="s">
        <v>846</v>
      </c>
      <c r="F149" s="39" t="s">
        <v>684</v>
      </c>
      <c r="G149" t="s">
        <v>847</v>
      </c>
      <c r="H149" s="39">
        <v>0</v>
      </c>
      <c r="I149" s="39" t="s">
        <v>354</v>
      </c>
    </row>
    <row r="150" spans="1:9" x14ac:dyDescent="0.25">
      <c r="A150" t="s">
        <v>425</v>
      </c>
      <c r="B150" t="s">
        <v>476</v>
      </c>
      <c r="C150" t="s">
        <v>477</v>
      </c>
      <c r="D150" t="s">
        <v>848</v>
      </c>
      <c r="E150" t="s">
        <v>849</v>
      </c>
      <c r="F150" s="39" t="s">
        <v>684</v>
      </c>
      <c r="G150" t="s">
        <v>700</v>
      </c>
      <c r="H150" s="39">
        <v>0</v>
      </c>
      <c r="I150" s="39" t="s">
        <v>354</v>
      </c>
    </row>
    <row r="151" spans="1:9" x14ac:dyDescent="0.25">
      <c r="A151" t="s">
        <v>520</v>
      </c>
      <c r="B151" t="s">
        <v>976</v>
      </c>
      <c r="C151" t="s">
        <v>977</v>
      </c>
      <c r="D151" t="s">
        <v>978</v>
      </c>
      <c r="E151" t="s">
        <v>979</v>
      </c>
      <c r="F151" s="39" t="s">
        <v>684</v>
      </c>
      <c r="G151" t="s">
        <v>700</v>
      </c>
      <c r="H151" s="39">
        <v>0</v>
      </c>
      <c r="I151" s="39" t="s">
        <v>354</v>
      </c>
    </row>
    <row r="152" spans="1:9" x14ac:dyDescent="0.25">
      <c r="A152" t="s">
        <v>520</v>
      </c>
      <c r="B152" t="s">
        <v>976</v>
      </c>
      <c r="C152" t="s">
        <v>977</v>
      </c>
      <c r="D152" t="s">
        <v>980</v>
      </c>
      <c r="E152" t="s">
        <v>981</v>
      </c>
      <c r="F152" s="39" t="s">
        <v>684</v>
      </c>
      <c r="G152" t="s">
        <v>697</v>
      </c>
      <c r="H152" s="39">
        <v>0</v>
      </c>
      <c r="I152" s="39" t="s">
        <v>354</v>
      </c>
    </row>
    <row r="153" spans="1:9" x14ac:dyDescent="0.25">
      <c r="A153" t="s">
        <v>520</v>
      </c>
      <c r="B153" t="s">
        <v>982</v>
      </c>
      <c r="C153" t="s">
        <v>983</v>
      </c>
      <c r="D153" t="s">
        <v>984</v>
      </c>
      <c r="E153" t="s">
        <v>985</v>
      </c>
      <c r="F153" s="39" t="s">
        <v>684</v>
      </c>
      <c r="G153" t="s">
        <v>741</v>
      </c>
      <c r="H153" s="39">
        <v>0</v>
      </c>
      <c r="I153" s="39" t="s">
        <v>355</v>
      </c>
    </row>
    <row r="154" spans="1:9" x14ac:dyDescent="0.25">
      <c r="A154" t="s">
        <v>520</v>
      </c>
      <c r="B154" t="s">
        <v>876</v>
      </c>
      <c r="C154" t="s">
        <v>877</v>
      </c>
      <c r="D154" t="s">
        <v>878</v>
      </c>
      <c r="E154" t="s">
        <v>879</v>
      </c>
      <c r="F154" s="39" t="s">
        <v>684</v>
      </c>
      <c r="G154" t="s">
        <v>771</v>
      </c>
      <c r="H154" s="39">
        <v>0</v>
      </c>
      <c r="I154" s="39" t="s">
        <v>354</v>
      </c>
    </row>
    <row r="155" spans="1:9" x14ac:dyDescent="0.25">
      <c r="A155" t="s">
        <v>520</v>
      </c>
      <c r="B155" t="s">
        <v>876</v>
      </c>
      <c r="C155" t="s">
        <v>877</v>
      </c>
      <c r="D155" t="s">
        <v>880</v>
      </c>
      <c r="E155" t="s">
        <v>881</v>
      </c>
      <c r="F155" s="39" t="s">
        <v>684</v>
      </c>
      <c r="G155" t="s">
        <v>697</v>
      </c>
      <c r="H155" s="39">
        <v>0</v>
      </c>
      <c r="I155" s="39" t="s">
        <v>354</v>
      </c>
    </row>
    <row r="156" spans="1:9" x14ac:dyDescent="0.25">
      <c r="A156" t="s">
        <v>347</v>
      </c>
      <c r="B156" t="s">
        <v>399</v>
      </c>
      <c r="C156" t="s">
        <v>400</v>
      </c>
      <c r="D156" t="s">
        <v>724</v>
      </c>
      <c r="E156" t="s">
        <v>725</v>
      </c>
      <c r="F156" s="39" t="s">
        <v>684</v>
      </c>
      <c r="G156" t="s">
        <v>726</v>
      </c>
      <c r="H156" s="39">
        <v>0</v>
      </c>
      <c r="I156" s="39" t="s">
        <v>355</v>
      </c>
    </row>
    <row r="157" spans="1:9" x14ac:dyDescent="0.25">
      <c r="A157" t="s">
        <v>347</v>
      </c>
      <c r="B157" t="s">
        <v>399</v>
      </c>
      <c r="C157" t="s">
        <v>400</v>
      </c>
      <c r="D157" t="s">
        <v>727</v>
      </c>
      <c r="E157" t="s">
        <v>728</v>
      </c>
      <c r="F157" s="39" t="s">
        <v>684</v>
      </c>
      <c r="G157" t="s">
        <v>726</v>
      </c>
      <c r="H157" s="39">
        <v>0</v>
      </c>
      <c r="I157" s="39" t="s">
        <v>354</v>
      </c>
    </row>
    <row r="158" spans="1:9" x14ac:dyDescent="0.25">
      <c r="A158" t="s">
        <v>347</v>
      </c>
      <c r="B158" t="s">
        <v>399</v>
      </c>
      <c r="C158" t="s">
        <v>400</v>
      </c>
      <c r="D158" t="s">
        <v>729</v>
      </c>
      <c r="E158" t="s">
        <v>730</v>
      </c>
      <c r="F158" s="39" t="s">
        <v>684</v>
      </c>
      <c r="G158" t="s">
        <v>731</v>
      </c>
      <c r="H158" s="39">
        <v>0</v>
      </c>
      <c r="I158" s="39" t="s">
        <v>354</v>
      </c>
    </row>
    <row r="159" spans="1:9" x14ac:dyDescent="0.25">
      <c r="A159" t="s">
        <v>347</v>
      </c>
      <c r="B159" t="s">
        <v>399</v>
      </c>
      <c r="C159" t="s">
        <v>400</v>
      </c>
      <c r="D159" t="s">
        <v>732</v>
      </c>
      <c r="E159" t="s">
        <v>733</v>
      </c>
      <c r="F159" s="39" t="s">
        <v>684</v>
      </c>
      <c r="G159" t="s">
        <v>706</v>
      </c>
      <c r="H159" s="39">
        <v>0</v>
      </c>
      <c r="I159" s="39" t="s">
        <v>354</v>
      </c>
    </row>
    <row r="160" spans="1:9" x14ac:dyDescent="0.25">
      <c r="A160" t="s">
        <v>347</v>
      </c>
      <c r="B160" t="s">
        <v>399</v>
      </c>
      <c r="C160" t="s">
        <v>400</v>
      </c>
      <c r="D160" t="s">
        <v>734</v>
      </c>
      <c r="E160" t="s">
        <v>735</v>
      </c>
      <c r="F160" s="39" t="s">
        <v>684</v>
      </c>
      <c r="G160" t="s">
        <v>736</v>
      </c>
      <c r="H160" s="39">
        <v>0</v>
      </c>
      <c r="I160" s="39" t="s">
        <v>354</v>
      </c>
    </row>
    <row r="161" spans="1:9" x14ac:dyDescent="0.25">
      <c r="A161" t="s">
        <v>347</v>
      </c>
      <c r="B161" t="s">
        <v>399</v>
      </c>
      <c r="C161" t="s">
        <v>400</v>
      </c>
      <c r="D161" t="s">
        <v>737</v>
      </c>
      <c r="E161" t="s">
        <v>738</v>
      </c>
      <c r="F161" s="39" t="s">
        <v>684</v>
      </c>
      <c r="G161" t="s">
        <v>700</v>
      </c>
      <c r="H161" s="39">
        <v>0</v>
      </c>
      <c r="I161" s="39" t="s">
        <v>355</v>
      </c>
    </row>
    <row r="162" spans="1:9" x14ac:dyDescent="0.25">
      <c r="A162" t="s">
        <v>347</v>
      </c>
      <c r="B162" t="s">
        <v>399</v>
      </c>
      <c r="C162" t="s">
        <v>400</v>
      </c>
      <c r="D162" t="s">
        <v>739</v>
      </c>
      <c r="E162" t="s">
        <v>740</v>
      </c>
      <c r="F162" s="39" t="s">
        <v>684</v>
      </c>
      <c r="G162" t="s">
        <v>741</v>
      </c>
      <c r="H162" s="39">
        <v>0</v>
      </c>
      <c r="I162" s="39" t="s">
        <v>355</v>
      </c>
    </row>
    <row r="163" spans="1:9" x14ac:dyDescent="0.25">
      <c r="A163" t="s">
        <v>347</v>
      </c>
      <c r="B163" t="s">
        <v>399</v>
      </c>
      <c r="C163" t="s">
        <v>400</v>
      </c>
      <c r="D163" t="s">
        <v>742</v>
      </c>
      <c r="E163" t="s">
        <v>743</v>
      </c>
      <c r="F163" s="39" t="s">
        <v>684</v>
      </c>
      <c r="G163" t="s">
        <v>744</v>
      </c>
      <c r="H163" s="39">
        <v>0</v>
      </c>
      <c r="I163" s="39" t="s">
        <v>354</v>
      </c>
    </row>
    <row r="164" spans="1:9" x14ac:dyDescent="0.25">
      <c r="A164" t="s">
        <v>347</v>
      </c>
      <c r="B164" t="s">
        <v>399</v>
      </c>
      <c r="C164" t="s">
        <v>400</v>
      </c>
      <c r="D164" t="s">
        <v>745</v>
      </c>
      <c r="E164" t="s">
        <v>746</v>
      </c>
      <c r="F164" s="39" t="s">
        <v>684</v>
      </c>
      <c r="G164" t="s">
        <v>703</v>
      </c>
      <c r="H164" s="39">
        <v>0</v>
      </c>
      <c r="I164" s="39" t="s">
        <v>354</v>
      </c>
    </row>
    <row r="165" spans="1:9" x14ac:dyDescent="0.25">
      <c r="A165" t="s">
        <v>347</v>
      </c>
      <c r="B165" t="s">
        <v>399</v>
      </c>
      <c r="C165" t="s">
        <v>400</v>
      </c>
      <c r="D165" t="s">
        <v>747</v>
      </c>
      <c r="E165" t="s">
        <v>748</v>
      </c>
      <c r="F165" s="39" t="s">
        <v>684</v>
      </c>
      <c r="G165" t="s">
        <v>749</v>
      </c>
      <c r="H165" s="39">
        <v>0</v>
      </c>
      <c r="I165" s="39" t="s">
        <v>354</v>
      </c>
    </row>
    <row r="166" spans="1:9" x14ac:dyDescent="0.25">
      <c r="A166" t="s">
        <v>347</v>
      </c>
      <c r="B166" t="s">
        <v>399</v>
      </c>
      <c r="C166" t="s">
        <v>400</v>
      </c>
      <c r="D166" t="s">
        <v>750</v>
      </c>
      <c r="E166" t="s">
        <v>751</v>
      </c>
      <c r="F166" s="39" t="s">
        <v>684</v>
      </c>
      <c r="G166" t="s">
        <v>697</v>
      </c>
      <c r="H166" s="39">
        <v>0</v>
      </c>
      <c r="I166" s="39" t="s">
        <v>354</v>
      </c>
    </row>
    <row r="167" spans="1:9" x14ac:dyDescent="0.25">
      <c r="A167" t="s">
        <v>347</v>
      </c>
      <c r="B167" t="s">
        <v>399</v>
      </c>
      <c r="C167" t="s">
        <v>400</v>
      </c>
      <c r="D167" t="s">
        <v>752</v>
      </c>
      <c r="E167" t="s">
        <v>753</v>
      </c>
      <c r="F167" s="39" t="s">
        <v>684</v>
      </c>
      <c r="G167" t="s">
        <v>754</v>
      </c>
      <c r="H167" s="39">
        <v>0</v>
      </c>
      <c r="I167" s="39" t="s">
        <v>354</v>
      </c>
    </row>
    <row r="168" spans="1:9" x14ac:dyDescent="0.25">
      <c r="A168" t="s">
        <v>347</v>
      </c>
      <c r="B168" t="s">
        <v>407</v>
      </c>
      <c r="C168" t="s">
        <v>408</v>
      </c>
      <c r="D168" t="s">
        <v>755</v>
      </c>
      <c r="E168" t="s">
        <v>756</v>
      </c>
      <c r="F168" s="39" t="s">
        <v>684</v>
      </c>
      <c r="G168" t="s">
        <v>757</v>
      </c>
      <c r="H168" s="39">
        <v>0</v>
      </c>
      <c r="I168" s="39" t="s">
        <v>354</v>
      </c>
    </row>
    <row r="169" spans="1:9" x14ac:dyDescent="0.25">
      <c r="A169" t="s">
        <v>347</v>
      </c>
      <c r="B169" t="s">
        <v>407</v>
      </c>
      <c r="C169" t="s">
        <v>408</v>
      </c>
      <c r="D169" t="s">
        <v>758</v>
      </c>
      <c r="E169" t="s">
        <v>759</v>
      </c>
      <c r="F169" s="39" t="s">
        <v>684</v>
      </c>
      <c r="G169" t="s">
        <v>697</v>
      </c>
      <c r="H169" s="39">
        <v>0</v>
      </c>
      <c r="I169" s="39" t="s">
        <v>354</v>
      </c>
    </row>
    <row r="170" spans="1:9" x14ac:dyDescent="0.25">
      <c r="A170" t="s">
        <v>347</v>
      </c>
      <c r="B170" t="s">
        <v>407</v>
      </c>
      <c r="C170" t="s">
        <v>408</v>
      </c>
      <c r="D170" t="s">
        <v>760</v>
      </c>
      <c r="E170" t="s">
        <v>761</v>
      </c>
      <c r="F170" s="39" t="s">
        <v>684</v>
      </c>
      <c r="G170" t="s">
        <v>762</v>
      </c>
      <c r="H170" s="39">
        <v>0</v>
      </c>
      <c r="I170" s="39" t="s">
        <v>354</v>
      </c>
    </row>
    <row r="171" spans="1:9" x14ac:dyDescent="0.25">
      <c r="A171" t="s">
        <v>347</v>
      </c>
      <c r="B171" t="s">
        <v>407</v>
      </c>
      <c r="C171" t="s">
        <v>408</v>
      </c>
      <c r="D171" t="s">
        <v>763</v>
      </c>
      <c r="E171" t="s">
        <v>764</v>
      </c>
      <c r="F171" s="39" t="s">
        <v>684</v>
      </c>
      <c r="G171" t="s">
        <v>697</v>
      </c>
      <c r="H171" s="39">
        <v>0</v>
      </c>
      <c r="I171" s="39" t="s">
        <v>354</v>
      </c>
    </row>
    <row r="172" spans="1:9" x14ac:dyDescent="0.25">
      <c r="A172" t="s">
        <v>347</v>
      </c>
      <c r="B172" t="s">
        <v>407</v>
      </c>
      <c r="C172" t="s">
        <v>408</v>
      </c>
      <c r="D172" t="s">
        <v>765</v>
      </c>
      <c r="E172" t="s">
        <v>766</v>
      </c>
      <c r="F172" s="39" t="s">
        <v>684</v>
      </c>
      <c r="G172" t="s">
        <v>697</v>
      </c>
      <c r="H172" s="39">
        <v>0</v>
      </c>
      <c r="I172" s="39" t="s">
        <v>354</v>
      </c>
    </row>
    <row r="173" spans="1:9" x14ac:dyDescent="0.25">
      <c r="A173" t="s">
        <v>347</v>
      </c>
      <c r="B173" t="s">
        <v>407</v>
      </c>
      <c r="C173" t="s">
        <v>408</v>
      </c>
      <c r="D173" t="s">
        <v>767</v>
      </c>
      <c r="E173" t="s">
        <v>768</v>
      </c>
      <c r="F173" s="39" t="s">
        <v>684</v>
      </c>
      <c r="G173" t="s">
        <v>718</v>
      </c>
      <c r="H173" s="39">
        <v>0</v>
      </c>
      <c r="I173" s="39" t="s">
        <v>354</v>
      </c>
    </row>
    <row r="174" spans="1:9" x14ac:dyDescent="0.25">
      <c r="A174" t="s">
        <v>347</v>
      </c>
      <c r="B174" t="s">
        <v>407</v>
      </c>
      <c r="C174" t="s">
        <v>408</v>
      </c>
      <c r="D174" t="s">
        <v>769</v>
      </c>
      <c r="E174" t="s">
        <v>770</v>
      </c>
      <c r="F174" s="39" t="s">
        <v>684</v>
      </c>
      <c r="G174" t="s">
        <v>771</v>
      </c>
      <c r="H174" s="39">
        <v>0</v>
      </c>
      <c r="I174" s="39" t="s">
        <v>354</v>
      </c>
    </row>
    <row r="175" spans="1:9" x14ac:dyDescent="0.25">
      <c r="A175" t="s">
        <v>520</v>
      </c>
      <c r="B175" t="s">
        <v>986</v>
      </c>
      <c r="C175" t="s">
        <v>987</v>
      </c>
      <c r="D175" t="s">
        <v>988</v>
      </c>
      <c r="E175" t="s">
        <v>989</v>
      </c>
      <c r="F175" s="39" t="s">
        <v>684</v>
      </c>
      <c r="G175" t="s">
        <v>697</v>
      </c>
      <c r="H175" s="39">
        <v>0</v>
      </c>
      <c r="I175" s="39" t="s">
        <v>354</v>
      </c>
    </row>
    <row r="176" spans="1:9" x14ac:dyDescent="0.25">
      <c r="A176" t="s">
        <v>520</v>
      </c>
      <c r="B176" t="s">
        <v>986</v>
      </c>
      <c r="C176" t="s">
        <v>987</v>
      </c>
      <c r="D176" t="s">
        <v>990</v>
      </c>
      <c r="E176" t="s">
        <v>991</v>
      </c>
      <c r="F176" s="39" t="s">
        <v>684</v>
      </c>
      <c r="G176" t="s">
        <v>762</v>
      </c>
      <c r="H176" s="39">
        <v>0</v>
      </c>
      <c r="I176" s="39" t="s">
        <v>354</v>
      </c>
    </row>
    <row r="177" spans="1:9" x14ac:dyDescent="0.25">
      <c r="A177" t="s">
        <v>520</v>
      </c>
      <c r="B177" t="s">
        <v>986</v>
      </c>
      <c r="C177" t="s">
        <v>987</v>
      </c>
      <c r="D177" t="s">
        <v>992</v>
      </c>
      <c r="E177" t="s">
        <v>993</v>
      </c>
      <c r="F177" s="39" t="s">
        <v>684</v>
      </c>
      <c r="G177" t="s">
        <v>700</v>
      </c>
      <c r="H177" s="39">
        <v>0</v>
      </c>
      <c r="I177" s="39" t="s">
        <v>354</v>
      </c>
    </row>
    <row r="178" spans="1:9" x14ac:dyDescent="0.25">
      <c r="A178" t="s">
        <v>425</v>
      </c>
      <c r="B178" t="s">
        <v>426</v>
      </c>
      <c r="C178" t="s">
        <v>427</v>
      </c>
      <c r="D178" t="s">
        <v>772</v>
      </c>
      <c r="E178" t="s">
        <v>773</v>
      </c>
      <c r="F178" s="39" t="s">
        <v>684</v>
      </c>
      <c r="G178" t="s">
        <v>700</v>
      </c>
      <c r="H178" s="39">
        <v>0</v>
      </c>
      <c r="I178" s="39" t="s">
        <v>355</v>
      </c>
    </row>
    <row r="179" spans="1:9" x14ac:dyDescent="0.25">
      <c r="A179" t="s">
        <v>425</v>
      </c>
      <c r="B179" t="s">
        <v>426</v>
      </c>
      <c r="C179" t="s">
        <v>427</v>
      </c>
      <c r="D179" t="s">
        <v>774</v>
      </c>
      <c r="E179" t="s">
        <v>775</v>
      </c>
      <c r="F179" s="39" t="s">
        <v>684</v>
      </c>
      <c r="G179" t="s">
        <v>776</v>
      </c>
      <c r="H179" s="39">
        <v>0</v>
      </c>
      <c r="I179" s="39" t="s">
        <v>354</v>
      </c>
    </row>
    <row r="180" spans="1:9" x14ac:dyDescent="0.25">
      <c r="A180" t="s">
        <v>425</v>
      </c>
      <c r="B180" t="s">
        <v>426</v>
      </c>
      <c r="C180" t="s">
        <v>427</v>
      </c>
      <c r="D180" t="s">
        <v>777</v>
      </c>
      <c r="E180" t="s">
        <v>778</v>
      </c>
      <c r="F180" s="39" t="s">
        <v>684</v>
      </c>
      <c r="G180" t="s">
        <v>779</v>
      </c>
      <c r="H180" s="39">
        <v>0</v>
      </c>
      <c r="I180" s="39" t="s">
        <v>354</v>
      </c>
    </row>
    <row r="181" spans="1:9" x14ac:dyDescent="0.25">
      <c r="A181" t="s">
        <v>425</v>
      </c>
      <c r="B181" t="s">
        <v>426</v>
      </c>
      <c r="C181" t="s">
        <v>427</v>
      </c>
      <c r="D181" t="s">
        <v>780</v>
      </c>
      <c r="E181" t="s">
        <v>781</v>
      </c>
      <c r="F181" s="39" t="s">
        <v>684</v>
      </c>
      <c r="G181" t="s">
        <v>757</v>
      </c>
      <c r="H181" s="39">
        <v>0</v>
      </c>
      <c r="I181" s="39" t="s">
        <v>354</v>
      </c>
    </row>
    <row r="182" spans="1:9" x14ac:dyDescent="0.25">
      <c r="A182" t="s">
        <v>425</v>
      </c>
      <c r="B182" t="s">
        <v>426</v>
      </c>
      <c r="C182" t="s">
        <v>427</v>
      </c>
      <c r="D182" t="s">
        <v>782</v>
      </c>
      <c r="E182" t="s">
        <v>783</v>
      </c>
      <c r="F182" s="39" t="s">
        <v>684</v>
      </c>
      <c r="G182" t="s">
        <v>700</v>
      </c>
      <c r="H182" s="39">
        <v>0</v>
      </c>
      <c r="I182" s="39" t="s">
        <v>354</v>
      </c>
    </row>
    <row r="183" spans="1:9" x14ac:dyDescent="0.25">
      <c r="A183" t="s">
        <v>347</v>
      </c>
      <c r="B183" t="s">
        <v>348</v>
      </c>
      <c r="C183" t="s">
        <v>349</v>
      </c>
      <c r="D183" t="s">
        <v>682</v>
      </c>
      <c r="E183" t="s">
        <v>683</v>
      </c>
      <c r="F183" s="39" t="s">
        <v>684</v>
      </c>
      <c r="G183" t="s">
        <v>685</v>
      </c>
      <c r="H183" s="39">
        <v>0</v>
      </c>
      <c r="I183" s="39" t="s">
        <v>354</v>
      </c>
    </row>
    <row r="184" spans="1:9" x14ac:dyDescent="0.25">
      <c r="A184" t="s">
        <v>347</v>
      </c>
      <c r="B184" t="s">
        <v>348</v>
      </c>
      <c r="C184" t="s">
        <v>349</v>
      </c>
      <c r="D184" t="s">
        <v>686</v>
      </c>
      <c r="E184" t="s">
        <v>687</v>
      </c>
      <c r="F184" s="39" t="s">
        <v>684</v>
      </c>
      <c r="G184" t="s">
        <v>688</v>
      </c>
      <c r="H184" s="39">
        <v>0</v>
      </c>
      <c r="I184" s="39" t="s">
        <v>354</v>
      </c>
    </row>
    <row r="185" spans="1:9" x14ac:dyDescent="0.25">
      <c r="A185" t="s">
        <v>347</v>
      </c>
      <c r="B185" t="s">
        <v>348</v>
      </c>
      <c r="C185" t="s">
        <v>349</v>
      </c>
      <c r="D185" t="s">
        <v>689</v>
      </c>
      <c r="E185" t="s">
        <v>690</v>
      </c>
      <c r="F185" s="39" t="s">
        <v>684</v>
      </c>
      <c r="G185" t="s">
        <v>691</v>
      </c>
      <c r="H185" s="39">
        <v>0</v>
      </c>
      <c r="I185" s="39" t="s">
        <v>354</v>
      </c>
    </row>
    <row r="186" spans="1:9" x14ac:dyDescent="0.25">
      <c r="A186" t="s">
        <v>347</v>
      </c>
      <c r="B186" t="s">
        <v>348</v>
      </c>
      <c r="C186" t="s">
        <v>349</v>
      </c>
      <c r="D186" t="s">
        <v>692</v>
      </c>
      <c r="E186" t="s">
        <v>693</v>
      </c>
      <c r="F186" s="39" t="s">
        <v>684</v>
      </c>
      <c r="G186" t="s">
        <v>694</v>
      </c>
      <c r="H186" s="39">
        <v>0</v>
      </c>
      <c r="I186" s="39" t="s">
        <v>354</v>
      </c>
    </row>
    <row r="187" spans="1:9" x14ac:dyDescent="0.25">
      <c r="A187" t="s">
        <v>347</v>
      </c>
      <c r="B187" t="s">
        <v>348</v>
      </c>
      <c r="C187" t="s">
        <v>349</v>
      </c>
      <c r="D187" t="s">
        <v>695</v>
      </c>
      <c r="E187" t="s">
        <v>696</v>
      </c>
      <c r="F187" s="39" t="s">
        <v>684</v>
      </c>
      <c r="G187" t="s">
        <v>697</v>
      </c>
      <c r="H187" s="39">
        <v>0</v>
      </c>
      <c r="I187" s="39" t="s">
        <v>354</v>
      </c>
    </row>
    <row r="188" spans="1:9" x14ac:dyDescent="0.25">
      <c r="A188" t="s">
        <v>347</v>
      </c>
      <c r="B188" t="s">
        <v>348</v>
      </c>
      <c r="C188" t="s">
        <v>349</v>
      </c>
      <c r="D188" t="s">
        <v>698</v>
      </c>
      <c r="E188" t="s">
        <v>699</v>
      </c>
      <c r="F188" s="39" t="s">
        <v>684</v>
      </c>
      <c r="G188" t="s">
        <v>700</v>
      </c>
      <c r="H188" s="39">
        <v>0</v>
      </c>
      <c r="I188" s="39" t="s">
        <v>354</v>
      </c>
    </row>
    <row r="189" spans="1:9" x14ac:dyDescent="0.25">
      <c r="A189" t="s">
        <v>347</v>
      </c>
      <c r="B189" t="s">
        <v>348</v>
      </c>
      <c r="C189" t="s">
        <v>349</v>
      </c>
      <c r="D189" t="s">
        <v>701</v>
      </c>
      <c r="E189" t="s">
        <v>702</v>
      </c>
      <c r="F189" s="39" t="s">
        <v>684</v>
      </c>
      <c r="G189" t="s">
        <v>703</v>
      </c>
      <c r="H189" s="39">
        <v>0</v>
      </c>
      <c r="I189" s="39" t="s">
        <v>354</v>
      </c>
    </row>
    <row r="190" spans="1:9" x14ac:dyDescent="0.25">
      <c r="A190" t="s">
        <v>347</v>
      </c>
      <c r="B190" t="s">
        <v>348</v>
      </c>
      <c r="C190" t="s">
        <v>349</v>
      </c>
      <c r="D190" t="s">
        <v>704</v>
      </c>
      <c r="E190" t="s">
        <v>705</v>
      </c>
      <c r="F190" s="39" t="s">
        <v>684</v>
      </c>
      <c r="G190" t="s">
        <v>706</v>
      </c>
      <c r="H190" s="39">
        <v>0</v>
      </c>
      <c r="I190" s="39" t="s">
        <v>354</v>
      </c>
    </row>
    <row r="191" spans="1:9" x14ac:dyDescent="0.25">
      <c r="A191" t="s">
        <v>347</v>
      </c>
      <c r="B191" t="s">
        <v>348</v>
      </c>
      <c r="C191" t="s">
        <v>349</v>
      </c>
      <c r="D191" t="s">
        <v>707</v>
      </c>
      <c r="E191" t="s">
        <v>708</v>
      </c>
      <c r="F191" s="39" t="s">
        <v>684</v>
      </c>
      <c r="G191" t="s">
        <v>709</v>
      </c>
      <c r="H191" s="39">
        <v>0</v>
      </c>
      <c r="I191" s="39" t="s">
        <v>354</v>
      </c>
    </row>
    <row r="192" spans="1:9" x14ac:dyDescent="0.25">
      <c r="A192" t="s">
        <v>347</v>
      </c>
      <c r="B192" t="s">
        <v>348</v>
      </c>
      <c r="C192" t="s">
        <v>349</v>
      </c>
      <c r="D192" t="s">
        <v>710</v>
      </c>
      <c r="E192" t="s">
        <v>711</v>
      </c>
      <c r="F192" s="39" t="s">
        <v>684</v>
      </c>
      <c r="G192" t="s">
        <v>697</v>
      </c>
      <c r="H192" s="39">
        <v>0</v>
      </c>
      <c r="I192" s="39" t="s">
        <v>354</v>
      </c>
    </row>
    <row r="193" spans="1:9" x14ac:dyDescent="0.25">
      <c r="A193" t="s">
        <v>347</v>
      </c>
      <c r="B193" t="s">
        <v>348</v>
      </c>
      <c r="C193" t="s">
        <v>349</v>
      </c>
      <c r="D193" t="s">
        <v>712</v>
      </c>
      <c r="E193" t="s">
        <v>713</v>
      </c>
      <c r="F193" s="39" t="s">
        <v>684</v>
      </c>
      <c r="G193" t="s">
        <v>697</v>
      </c>
      <c r="H193" s="39">
        <v>0</v>
      </c>
      <c r="I193" s="39" t="s">
        <v>354</v>
      </c>
    </row>
    <row r="194" spans="1:9" x14ac:dyDescent="0.25">
      <c r="A194" t="s">
        <v>347</v>
      </c>
      <c r="B194" t="s">
        <v>348</v>
      </c>
      <c r="C194" t="s">
        <v>349</v>
      </c>
      <c r="D194" t="s">
        <v>714</v>
      </c>
      <c r="E194" t="s">
        <v>548</v>
      </c>
      <c r="F194" s="39" t="s">
        <v>684</v>
      </c>
      <c r="G194" t="s">
        <v>715</v>
      </c>
      <c r="H194" s="39">
        <v>0</v>
      </c>
      <c r="I194" s="39" t="s">
        <v>354</v>
      </c>
    </row>
    <row r="195" spans="1:9" x14ac:dyDescent="0.25">
      <c r="A195" t="s">
        <v>347</v>
      </c>
      <c r="B195" t="s">
        <v>348</v>
      </c>
      <c r="C195" t="s">
        <v>349</v>
      </c>
      <c r="D195" t="s">
        <v>716</v>
      </c>
      <c r="E195" t="s">
        <v>717</v>
      </c>
      <c r="F195" s="39" t="s">
        <v>684</v>
      </c>
      <c r="G195" t="s">
        <v>718</v>
      </c>
      <c r="H195" s="39">
        <v>0</v>
      </c>
      <c r="I195" s="39" t="s">
        <v>354</v>
      </c>
    </row>
    <row r="196" spans="1:9" x14ac:dyDescent="0.25">
      <c r="A196" t="s">
        <v>347</v>
      </c>
      <c r="B196" t="s">
        <v>348</v>
      </c>
      <c r="C196" t="s">
        <v>349</v>
      </c>
      <c r="D196" t="s">
        <v>719</v>
      </c>
      <c r="E196" t="s">
        <v>720</v>
      </c>
      <c r="F196" s="39" t="s">
        <v>684</v>
      </c>
      <c r="G196" t="s">
        <v>685</v>
      </c>
      <c r="H196" s="39">
        <v>0</v>
      </c>
      <c r="I196" s="39" t="s">
        <v>354</v>
      </c>
    </row>
    <row r="197" spans="1:9" x14ac:dyDescent="0.25">
      <c r="A197" t="s">
        <v>347</v>
      </c>
      <c r="B197" t="s">
        <v>348</v>
      </c>
      <c r="C197" t="s">
        <v>349</v>
      </c>
      <c r="D197" t="s">
        <v>721</v>
      </c>
      <c r="E197" t="s">
        <v>722</v>
      </c>
      <c r="F197" s="39" t="s">
        <v>684</v>
      </c>
      <c r="G197" t="s">
        <v>723</v>
      </c>
      <c r="H197" s="39">
        <v>0</v>
      </c>
      <c r="I197" s="39" t="s">
        <v>354</v>
      </c>
    </row>
    <row r="198" spans="1:9" x14ac:dyDescent="0.25">
      <c r="A198" t="s">
        <v>495</v>
      </c>
      <c r="B198" t="s">
        <v>514</v>
      </c>
      <c r="C198" t="s">
        <v>515</v>
      </c>
      <c r="D198" t="s">
        <v>874</v>
      </c>
      <c r="E198" t="s">
        <v>875</v>
      </c>
      <c r="F198" s="39" t="s">
        <v>684</v>
      </c>
      <c r="G198" t="s">
        <v>697</v>
      </c>
      <c r="H198" s="39">
        <v>0</v>
      </c>
      <c r="I198" s="39" t="s">
        <v>354</v>
      </c>
    </row>
  </sheetData>
  <autoFilter ref="A1:I1" xr:uid="{27104B44-B362-4BCA-9C76-34F19D48A57D}">
    <sortState xmlns:xlrd2="http://schemas.microsoft.com/office/spreadsheetml/2017/richdata2" ref="A2:I198">
      <sortCondition ref="C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F150F-32C5-47B1-9C45-B9003C226470}">
  <sheetPr>
    <tabColor theme="3" tint="0.749992370372631"/>
  </sheetPr>
  <dimension ref="A1:Q28"/>
  <sheetViews>
    <sheetView zoomScaleNormal="100" workbookViewId="0">
      <pane ySplit="1" topLeftCell="A2" activePane="bottomLeft" state="frozen"/>
      <selection pane="bottomLeft" activeCell="N28" sqref="N2:N28"/>
    </sheetView>
  </sheetViews>
  <sheetFormatPr defaultColWidth="9.140625" defaultRowHeight="15" x14ac:dyDescent="0.25"/>
  <cols>
    <col min="1" max="10" width="12.7109375" style="1" customWidth="1"/>
    <col min="11" max="12" width="12.7109375" style="42" customWidth="1"/>
    <col min="13" max="13" width="12.7109375" style="40" customWidth="1"/>
    <col min="14" max="14" width="12.7109375" style="35" customWidth="1"/>
    <col min="15" max="17" width="12.7109375" style="1" customWidth="1"/>
    <col min="18" max="16384" width="9.140625" style="1"/>
  </cols>
  <sheetData>
    <row r="1" spans="1:17" ht="75" x14ac:dyDescent="0.25">
      <c r="A1" s="6" t="s">
        <v>6</v>
      </c>
      <c r="B1" s="6" t="s">
        <v>7</v>
      </c>
      <c r="C1" s="6" t="s">
        <v>37</v>
      </c>
      <c r="D1" s="6" t="s">
        <v>38</v>
      </c>
      <c r="E1" s="6" t="s">
        <v>39</v>
      </c>
      <c r="F1" s="6" t="s">
        <v>40</v>
      </c>
      <c r="G1" s="6" t="s">
        <v>41</v>
      </c>
      <c r="H1" s="6" t="s">
        <v>42</v>
      </c>
      <c r="I1" s="6" t="s">
        <v>43</v>
      </c>
      <c r="J1" s="6" t="s">
        <v>44</v>
      </c>
      <c r="K1" s="41" t="s">
        <v>306</v>
      </c>
      <c r="L1" s="41" t="s">
        <v>307</v>
      </c>
      <c r="M1" s="43" t="s">
        <v>1138</v>
      </c>
      <c r="N1" s="32" t="s">
        <v>1139</v>
      </c>
      <c r="O1" s="6" t="s">
        <v>45</v>
      </c>
      <c r="P1" s="6" t="s">
        <v>46</v>
      </c>
      <c r="Q1" s="6" t="s">
        <v>9</v>
      </c>
    </row>
    <row r="2" spans="1:17" ht="90" x14ac:dyDescent="0.25">
      <c r="A2" s="1" t="s">
        <v>10</v>
      </c>
      <c r="B2" s="1">
        <v>56400</v>
      </c>
      <c r="C2" s="1">
        <v>80</v>
      </c>
      <c r="D2" s="1" t="s">
        <v>47</v>
      </c>
      <c r="E2" s="1" t="s">
        <v>48</v>
      </c>
      <c r="F2" s="7">
        <v>0.91</v>
      </c>
      <c r="G2" s="7">
        <v>0.44</v>
      </c>
      <c r="H2" s="7">
        <v>0.1</v>
      </c>
      <c r="I2" s="1" t="s">
        <v>49</v>
      </c>
      <c r="J2" s="8">
        <v>-2.5000000000000001E-2</v>
      </c>
      <c r="K2" s="42">
        <v>10</v>
      </c>
      <c r="L2" s="42">
        <v>13</v>
      </c>
      <c r="M2" s="40">
        <f>((K2*2)+(L2*1))/C2</f>
        <v>0.41249999999999998</v>
      </c>
      <c r="N2" s="35">
        <f>IF(M2&gt;=0.39,5,IF(M2&gt;=0.19,4,IF(M2&gt;=0.1,3,IF(M2&gt;=0.04,2,1))))</f>
        <v>5</v>
      </c>
      <c r="O2" s="9" t="s">
        <v>50</v>
      </c>
      <c r="P2" s="9" t="s">
        <v>51</v>
      </c>
    </row>
    <row r="3" spans="1:17" ht="135" x14ac:dyDescent="0.25">
      <c r="A3" s="1" t="s">
        <v>11</v>
      </c>
      <c r="B3" s="1">
        <v>53300</v>
      </c>
      <c r="C3" s="1">
        <v>74</v>
      </c>
      <c r="D3" s="1" t="s">
        <v>47</v>
      </c>
      <c r="E3" s="1" t="s">
        <v>52</v>
      </c>
      <c r="F3" s="7">
        <v>0.75</v>
      </c>
      <c r="G3" s="7">
        <v>0.31</v>
      </c>
      <c r="H3" s="7">
        <v>0.11</v>
      </c>
      <c r="I3" s="1" t="s">
        <v>53</v>
      </c>
      <c r="J3" s="8">
        <v>-2.5999999999999999E-2</v>
      </c>
      <c r="K3" s="42">
        <v>8</v>
      </c>
      <c r="L3" s="42">
        <v>17</v>
      </c>
      <c r="M3" s="40">
        <f t="shared" ref="M3:M28" si="0">((K3*2)+(L3*1))/C3</f>
        <v>0.44594594594594594</v>
      </c>
      <c r="N3" s="35">
        <f t="shared" ref="N3:N28" si="1">IF(M3&gt;=0.39,5,IF(M3&gt;=0.19,4,IF(M3&gt;=0.1,3,IF(M3&gt;=0.04,2,1))))</f>
        <v>5</v>
      </c>
      <c r="O3" s="10" t="s">
        <v>54</v>
      </c>
      <c r="P3" s="9" t="s">
        <v>167</v>
      </c>
    </row>
    <row r="4" spans="1:17" ht="30" x14ac:dyDescent="0.25">
      <c r="A4" s="1" t="s">
        <v>12</v>
      </c>
      <c r="B4" s="1">
        <v>74000</v>
      </c>
      <c r="C4" s="1">
        <v>130</v>
      </c>
      <c r="D4" s="1" t="s">
        <v>47</v>
      </c>
      <c r="E4" s="1" t="s">
        <v>52</v>
      </c>
      <c r="F4" s="7">
        <v>0.52</v>
      </c>
      <c r="G4" s="7">
        <v>0.28000000000000003</v>
      </c>
      <c r="H4" s="7">
        <v>0.11</v>
      </c>
      <c r="I4" s="1" t="s">
        <v>55</v>
      </c>
      <c r="J4" s="8">
        <v>-8.0000000000000002E-3</v>
      </c>
      <c r="K4" s="42">
        <v>26</v>
      </c>
      <c r="L4" s="42">
        <v>14</v>
      </c>
      <c r="M4" s="40">
        <f t="shared" si="0"/>
        <v>0.50769230769230766</v>
      </c>
      <c r="N4" s="35">
        <f t="shared" si="1"/>
        <v>5</v>
      </c>
      <c r="O4" s="10" t="s">
        <v>56</v>
      </c>
    </row>
    <row r="5" spans="1:17" ht="45" x14ac:dyDescent="0.25">
      <c r="A5" s="1" t="s">
        <v>13</v>
      </c>
      <c r="B5" s="1">
        <v>41000</v>
      </c>
      <c r="C5" s="1">
        <v>60</v>
      </c>
      <c r="D5" s="1" t="s">
        <v>47</v>
      </c>
      <c r="E5" s="1" t="s">
        <v>52</v>
      </c>
      <c r="F5" s="7">
        <v>0.95</v>
      </c>
      <c r="G5" s="7">
        <v>0.4</v>
      </c>
      <c r="H5" s="7">
        <v>0.2</v>
      </c>
      <c r="I5" s="1" t="s">
        <v>57</v>
      </c>
      <c r="J5" s="8">
        <v>-2.5000000000000001E-2</v>
      </c>
      <c r="K5" s="42">
        <v>0</v>
      </c>
      <c r="L5" s="42">
        <v>3</v>
      </c>
      <c r="M5" s="40">
        <f t="shared" si="0"/>
        <v>0.05</v>
      </c>
      <c r="N5" s="35">
        <f t="shared" si="1"/>
        <v>2</v>
      </c>
      <c r="O5" s="10" t="s">
        <v>58</v>
      </c>
      <c r="P5" s="9"/>
    </row>
    <row r="6" spans="1:17" ht="45" x14ac:dyDescent="0.25">
      <c r="A6" s="1" t="s">
        <v>14</v>
      </c>
      <c r="B6" s="1">
        <v>72000</v>
      </c>
      <c r="C6" s="1">
        <v>70</v>
      </c>
      <c r="D6" s="1" t="s">
        <v>47</v>
      </c>
      <c r="E6" s="1" t="s">
        <v>48</v>
      </c>
      <c r="F6" s="7">
        <v>0.44</v>
      </c>
      <c r="G6" s="7">
        <v>0.2</v>
      </c>
      <c r="H6" s="7">
        <v>0.15</v>
      </c>
      <c r="I6" s="1" t="s">
        <v>59</v>
      </c>
      <c r="J6" s="8">
        <v>8.0000000000000002E-3</v>
      </c>
      <c r="K6" s="42">
        <v>1</v>
      </c>
      <c r="L6" s="42">
        <v>2</v>
      </c>
      <c r="M6" s="40">
        <f t="shared" si="0"/>
        <v>5.7142857142857141E-2</v>
      </c>
      <c r="N6" s="35">
        <f t="shared" si="1"/>
        <v>2</v>
      </c>
      <c r="O6" s="9" t="s">
        <v>60</v>
      </c>
    </row>
    <row r="7" spans="1:17" ht="60" x14ac:dyDescent="0.25">
      <c r="A7" s="1" t="s">
        <v>15</v>
      </c>
      <c r="B7" s="1">
        <v>114000</v>
      </c>
      <c r="C7" s="1">
        <v>90</v>
      </c>
      <c r="D7" s="1" t="s">
        <v>47</v>
      </c>
      <c r="E7" s="1" t="s">
        <v>48</v>
      </c>
      <c r="F7" s="7">
        <v>0.57999999999999996</v>
      </c>
      <c r="G7" s="7">
        <v>0.21</v>
      </c>
      <c r="H7" s="7">
        <v>0.15</v>
      </c>
      <c r="I7" s="1" t="s">
        <v>61</v>
      </c>
      <c r="J7" s="8">
        <v>-5.0000000000000001E-3</v>
      </c>
      <c r="K7" s="42">
        <v>0</v>
      </c>
      <c r="L7" s="42">
        <v>9</v>
      </c>
      <c r="M7" s="40">
        <f t="shared" si="0"/>
        <v>0.1</v>
      </c>
      <c r="N7" s="35">
        <f t="shared" si="1"/>
        <v>3</v>
      </c>
      <c r="O7" s="9" t="s">
        <v>62</v>
      </c>
    </row>
    <row r="8" spans="1:17" ht="165" x14ac:dyDescent="0.25">
      <c r="A8" s="1" t="s">
        <v>16</v>
      </c>
      <c r="B8" s="1">
        <v>135000</v>
      </c>
      <c r="C8" s="1">
        <v>237</v>
      </c>
      <c r="D8" s="1" t="s">
        <v>47</v>
      </c>
      <c r="E8" s="1" t="s">
        <v>52</v>
      </c>
      <c r="F8" s="7">
        <v>0.82</v>
      </c>
      <c r="G8" s="7">
        <v>0.48</v>
      </c>
      <c r="H8" s="7">
        <v>0.13</v>
      </c>
      <c r="I8" s="1" t="s">
        <v>63</v>
      </c>
      <c r="J8" s="8">
        <v>4.0000000000000001E-3</v>
      </c>
      <c r="K8" s="42">
        <v>19</v>
      </c>
      <c r="L8" s="42">
        <v>12</v>
      </c>
      <c r="M8" s="40">
        <f t="shared" si="0"/>
        <v>0.2109704641350211</v>
      </c>
      <c r="N8" s="35">
        <f t="shared" si="1"/>
        <v>4</v>
      </c>
      <c r="O8" s="9" t="s">
        <v>64</v>
      </c>
      <c r="P8" s="1" t="s">
        <v>263</v>
      </c>
    </row>
    <row r="9" spans="1:17" ht="45" x14ac:dyDescent="0.25">
      <c r="A9" s="1" t="s">
        <v>17</v>
      </c>
      <c r="B9" s="1">
        <v>32000</v>
      </c>
      <c r="C9" s="1">
        <v>45</v>
      </c>
      <c r="D9" s="1" t="s">
        <v>47</v>
      </c>
      <c r="E9" s="1" t="s">
        <v>48</v>
      </c>
      <c r="F9" s="7">
        <v>0.49</v>
      </c>
      <c r="G9" s="7">
        <v>0.2</v>
      </c>
      <c r="H9" s="7">
        <v>0.18</v>
      </c>
      <c r="I9" s="1" t="s">
        <v>65</v>
      </c>
      <c r="J9" s="8">
        <v>1.4E-2</v>
      </c>
      <c r="K9" s="42">
        <v>1</v>
      </c>
      <c r="L9" s="42">
        <v>5</v>
      </c>
      <c r="M9" s="40">
        <f t="shared" si="0"/>
        <v>0.15555555555555556</v>
      </c>
      <c r="N9" s="35">
        <f t="shared" si="1"/>
        <v>3</v>
      </c>
      <c r="O9" s="9" t="s">
        <v>66</v>
      </c>
    </row>
    <row r="10" spans="1:17" ht="30" x14ac:dyDescent="0.25">
      <c r="A10" s="1" t="s">
        <v>18</v>
      </c>
      <c r="B10" s="1">
        <v>50000</v>
      </c>
      <c r="C10" s="1">
        <v>80</v>
      </c>
      <c r="D10" s="1" t="s">
        <v>47</v>
      </c>
      <c r="E10" s="1" t="s">
        <v>52</v>
      </c>
      <c r="F10" s="7">
        <v>0.69</v>
      </c>
      <c r="G10" s="7">
        <v>0.35</v>
      </c>
      <c r="H10" s="7">
        <v>0.16</v>
      </c>
      <c r="I10" s="1" t="s">
        <v>67</v>
      </c>
      <c r="J10" s="8">
        <v>-2.1000000000000001E-2</v>
      </c>
      <c r="K10" s="42">
        <v>8</v>
      </c>
      <c r="L10" s="42">
        <v>6</v>
      </c>
      <c r="M10" s="40">
        <f t="shared" si="0"/>
        <v>0.27500000000000002</v>
      </c>
      <c r="N10" s="35">
        <f t="shared" si="1"/>
        <v>4</v>
      </c>
      <c r="O10" s="9" t="s">
        <v>68</v>
      </c>
    </row>
    <row r="11" spans="1:17" ht="30" x14ac:dyDescent="0.25">
      <c r="A11" s="1" t="s">
        <v>19</v>
      </c>
      <c r="B11" s="1">
        <v>82000</v>
      </c>
      <c r="C11" s="1">
        <v>80</v>
      </c>
      <c r="D11" s="1" t="s">
        <v>47</v>
      </c>
      <c r="E11" s="1" t="s">
        <v>48</v>
      </c>
      <c r="F11" s="7">
        <v>0.48</v>
      </c>
      <c r="G11" s="7">
        <v>0.2</v>
      </c>
      <c r="H11" s="7">
        <v>0.16</v>
      </c>
      <c r="I11" s="1" t="s">
        <v>69</v>
      </c>
      <c r="J11" s="8">
        <v>-7.0000000000000001E-3</v>
      </c>
      <c r="K11" s="42">
        <v>2</v>
      </c>
      <c r="L11" s="42">
        <v>3</v>
      </c>
      <c r="M11" s="40">
        <f t="shared" si="0"/>
        <v>8.7499999999999994E-2</v>
      </c>
      <c r="N11" s="35">
        <f t="shared" si="1"/>
        <v>2</v>
      </c>
      <c r="O11" s="9" t="s">
        <v>70</v>
      </c>
    </row>
    <row r="12" spans="1:17" ht="30" x14ac:dyDescent="0.25">
      <c r="A12" s="1" t="s">
        <v>20</v>
      </c>
      <c r="B12" s="1">
        <v>72000</v>
      </c>
      <c r="C12" s="1">
        <v>140</v>
      </c>
      <c r="D12" s="1" t="s">
        <v>47</v>
      </c>
      <c r="E12" s="1" t="s">
        <v>52</v>
      </c>
      <c r="F12" s="7">
        <v>0.82</v>
      </c>
      <c r="G12" s="7">
        <v>0.4</v>
      </c>
      <c r="H12" s="7">
        <v>0.16</v>
      </c>
      <c r="I12" s="1" t="s">
        <v>112</v>
      </c>
      <c r="J12" s="8">
        <v>-8.9999999999999993E-3</v>
      </c>
      <c r="K12" s="42">
        <v>13</v>
      </c>
      <c r="L12" s="42">
        <v>29</v>
      </c>
      <c r="M12" s="40">
        <f t="shared" si="0"/>
        <v>0.39285714285714285</v>
      </c>
      <c r="N12" s="35">
        <f t="shared" si="1"/>
        <v>5</v>
      </c>
      <c r="O12" s="9" t="s">
        <v>70</v>
      </c>
    </row>
    <row r="13" spans="1:17" ht="30" x14ac:dyDescent="0.25">
      <c r="A13" s="1" t="s">
        <v>21</v>
      </c>
      <c r="B13" s="1">
        <v>67000</v>
      </c>
      <c r="C13" s="1">
        <v>75</v>
      </c>
      <c r="D13" s="1" t="s">
        <v>47</v>
      </c>
      <c r="E13" s="1" t="s">
        <v>48</v>
      </c>
      <c r="F13" s="7">
        <v>0.14000000000000001</v>
      </c>
      <c r="G13" s="7">
        <v>0.13</v>
      </c>
      <c r="H13" s="7">
        <v>0.13</v>
      </c>
      <c r="I13" s="1" t="s">
        <v>111</v>
      </c>
      <c r="J13" s="8">
        <v>-2.1000000000000001E-2</v>
      </c>
      <c r="K13" s="42">
        <v>0</v>
      </c>
      <c r="L13" s="42">
        <v>0</v>
      </c>
      <c r="M13" s="40">
        <f t="shared" si="0"/>
        <v>0</v>
      </c>
      <c r="N13" s="35">
        <f t="shared" si="1"/>
        <v>1</v>
      </c>
      <c r="O13" s="9" t="s">
        <v>71</v>
      </c>
    </row>
    <row r="14" spans="1:17" ht="45" x14ac:dyDescent="0.25">
      <c r="A14" s="1" t="s">
        <v>22</v>
      </c>
      <c r="B14" s="1">
        <v>52000</v>
      </c>
      <c r="C14" s="1">
        <v>70</v>
      </c>
      <c r="D14" s="1" t="s">
        <v>47</v>
      </c>
      <c r="E14" s="1" t="s">
        <v>52</v>
      </c>
      <c r="F14" s="7">
        <v>0.73</v>
      </c>
      <c r="G14" s="7">
        <v>0.37</v>
      </c>
      <c r="H14" s="7">
        <v>0.15</v>
      </c>
      <c r="I14" s="7" t="s">
        <v>55</v>
      </c>
      <c r="J14" s="8">
        <v>-1.2E-2</v>
      </c>
      <c r="K14" s="42">
        <v>1</v>
      </c>
      <c r="L14" s="42">
        <v>10</v>
      </c>
      <c r="M14" s="40">
        <f t="shared" si="0"/>
        <v>0.17142857142857143</v>
      </c>
      <c r="N14" s="35">
        <f t="shared" si="1"/>
        <v>3</v>
      </c>
      <c r="O14" s="9" t="s">
        <v>72</v>
      </c>
    </row>
    <row r="15" spans="1:17" ht="45" x14ac:dyDescent="0.25">
      <c r="A15" s="1" t="s">
        <v>23</v>
      </c>
      <c r="B15" s="1">
        <v>168000</v>
      </c>
      <c r="C15" s="1">
        <v>280</v>
      </c>
      <c r="D15" s="1" t="s">
        <v>47</v>
      </c>
      <c r="E15" s="1" t="s">
        <v>52</v>
      </c>
      <c r="F15" s="7">
        <v>0.77</v>
      </c>
      <c r="G15" s="7">
        <v>0.37</v>
      </c>
      <c r="H15" s="7">
        <v>0.13</v>
      </c>
      <c r="I15" s="1" t="s">
        <v>113</v>
      </c>
      <c r="J15" s="7">
        <v>-0.04</v>
      </c>
      <c r="K15" s="42">
        <v>6</v>
      </c>
      <c r="L15" s="42">
        <v>17</v>
      </c>
      <c r="M15" s="40">
        <f t="shared" si="0"/>
        <v>0.10357142857142858</v>
      </c>
      <c r="N15" s="35">
        <f t="shared" si="1"/>
        <v>3</v>
      </c>
      <c r="O15" s="9" t="s">
        <v>73</v>
      </c>
    </row>
    <row r="16" spans="1:17" ht="30" x14ac:dyDescent="0.25">
      <c r="A16" s="1" t="s">
        <v>24</v>
      </c>
      <c r="B16" s="1">
        <v>87000</v>
      </c>
      <c r="C16" s="1">
        <v>140</v>
      </c>
      <c r="D16" s="1" t="s">
        <v>47</v>
      </c>
      <c r="E16" s="1" t="s">
        <v>52</v>
      </c>
      <c r="F16" s="7">
        <v>0.82</v>
      </c>
      <c r="G16" s="7">
        <v>0.44</v>
      </c>
      <c r="H16" s="7">
        <v>0.12</v>
      </c>
      <c r="I16" s="1" t="s">
        <v>114</v>
      </c>
      <c r="J16" s="8">
        <v>3.4000000000000002E-2</v>
      </c>
      <c r="K16" s="42">
        <v>6</v>
      </c>
      <c r="L16" s="42">
        <v>0</v>
      </c>
      <c r="M16" s="40">
        <f t="shared" si="0"/>
        <v>8.5714285714285715E-2</v>
      </c>
      <c r="N16" s="35">
        <f t="shared" si="1"/>
        <v>2</v>
      </c>
      <c r="O16" s="9" t="s">
        <v>74</v>
      </c>
    </row>
    <row r="17" spans="1:15" ht="30" x14ac:dyDescent="0.25">
      <c r="A17" s="1" t="s">
        <v>25</v>
      </c>
      <c r="B17" s="1">
        <v>35000</v>
      </c>
      <c r="C17" s="1">
        <v>40</v>
      </c>
      <c r="D17" s="1" t="s">
        <v>47</v>
      </c>
      <c r="E17" s="1" t="s">
        <v>52</v>
      </c>
      <c r="F17" s="7">
        <v>0.85</v>
      </c>
      <c r="G17" s="7">
        <v>0.57999999999999996</v>
      </c>
      <c r="H17" s="7">
        <v>0.14000000000000001</v>
      </c>
      <c r="I17" s="1" t="s">
        <v>115</v>
      </c>
      <c r="J17" s="8">
        <v>-2.3E-2</v>
      </c>
      <c r="K17" s="42">
        <v>6</v>
      </c>
      <c r="L17" s="42">
        <v>8</v>
      </c>
      <c r="M17" s="40">
        <f t="shared" si="0"/>
        <v>0.5</v>
      </c>
      <c r="N17" s="35">
        <f t="shared" si="1"/>
        <v>5</v>
      </c>
      <c r="O17" s="9" t="s">
        <v>75</v>
      </c>
    </row>
    <row r="18" spans="1:15" ht="30" x14ac:dyDescent="0.25">
      <c r="A18" s="1" t="s">
        <v>26</v>
      </c>
      <c r="B18" s="1">
        <v>95000</v>
      </c>
      <c r="C18" s="1">
        <v>70</v>
      </c>
      <c r="D18" s="1" t="s">
        <v>47</v>
      </c>
      <c r="E18" s="1" t="s">
        <v>48</v>
      </c>
      <c r="F18" s="7">
        <v>0.43</v>
      </c>
      <c r="G18" s="7">
        <v>0.24</v>
      </c>
      <c r="H18" s="7">
        <v>0.19</v>
      </c>
      <c r="I18" s="1" t="s">
        <v>65</v>
      </c>
      <c r="J18" s="8">
        <v>1.4E-2</v>
      </c>
      <c r="K18" s="42">
        <v>0</v>
      </c>
      <c r="L18" s="42">
        <v>2</v>
      </c>
      <c r="M18" s="40">
        <f t="shared" si="0"/>
        <v>2.8571428571428571E-2</v>
      </c>
      <c r="N18" s="35">
        <f t="shared" si="1"/>
        <v>1</v>
      </c>
      <c r="O18" s="9" t="s">
        <v>76</v>
      </c>
    </row>
    <row r="19" spans="1:15" ht="30" x14ac:dyDescent="0.25">
      <c r="A19" s="1" t="s">
        <v>27</v>
      </c>
      <c r="B19" s="1">
        <v>54000</v>
      </c>
      <c r="C19" s="1">
        <v>50</v>
      </c>
      <c r="D19" s="1" t="s">
        <v>47</v>
      </c>
      <c r="E19" s="1" t="s">
        <v>48</v>
      </c>
      <c r="F19" s="7">
        <v>0.55000000000000004</v>
      </c>
      <c r="G19" s="7">
        <v>0.22</v>
      </c>
      <c r="H19" s="7">
        <v>0.17</v>
      </c>
      <c r="I19" s="1" t="s">
        <v>116</v>
      </c>
      <c r="J19" s="8">
        <v>-1.2E-2</v>
      </c>
      <c r="K19" s="42">
        <v>0</v>
      </c>
      <c r="L19" s="42">
        <v>1</v>
      </c>
      <c r="M19" s="40">
        <f t="shared" si="0"/>
        <v>0.02</v>
      </c>
      <c r="N19" s="35">
        <f t="shared" si="1"/>
        <v>1</v>
      </c>
      <c r="O19" s="9" t="s">
        <v>77</v>
      </c>
    </row>
    <row r="20" spans="1:15" ht="45" x14ac:dyDescent="0.25">
      <c r="A20" s="1" t="s">
        <v>28</v>
      </c>
      <c r="B20" s="1">
        <v>43000</v>
      </c>
      <c r="C20" s="1">
        <v>45</v>
      </c>
      <c r="D20" s="1" t="s">
        <v>47</v>
      </c>
      <c r="E20" s="1" t="s">
        <v>48</v>
      </c>
      <c r="F20" s="7">
        <v>0.43</v>
      </c>
      <c r="G20" s="7">
        <v>0.22</v>
      </c>
      <c r="H20" s="7">
        <v>0.16</v>
      </c>
      <c r="I20" s="1" t="s">
        <v>117</v>
      </c>
      <c r="J20" s="8">
        <v>5.0999999999999997E-2</v>
      </c>
      <c r="K20" s="42">
        <v>0</v>
      </c>
      <c r="L20" s="42">
        <v>2</v>
      </c>
      <c r="M20" s="40">
        <f t="shared" si="0"/>
        <v>4.4444444444444446E-2</v>
      </c>
      <c r="N20" s="35">
        <f t="shared" si="1"/>
        <v>2</v>
      </c>
      <c r="O20" s="9" t="s">
        <v>78</v>
      </c>
    </row>
    <row r="21" spans="1:15" ht="45" x14ac:dyDescent="0.25">
      <c r="A21" s="1" t="s">
        <v>29</v>
      </c>
      <c r="B21" s="1">
        <v>23000</v>
      </c>
      <c r="C21" s="1">
        <v>30</v>
      </c>
      <c r="D21" s="1" t="s">
        <v>47</v>
      </c>
      <c r="E21" s="1" t="s">
        <v>52</v>
      </c>
      <c r="F21" s="7">
        <v>0.97</v>
      </c>
      <c r="G21" s="7">
        <v>0.5</v>
      </c>
      <c r="H21" s="7">
        <v>0.14000000000000001</v>
      </c>
      <c r="I21" s="7" t="s">
        <v>118</v>
      </c>
      <c r="J21" s="8">
        <v>-1.6E-2</v>
      </c>
      <c r="K21" s="42">
        <v>0</v>
      </c>
      <c r="L21" s="42">
        <v>0</v>
      </c>
      <c r="M21" s="40">
        <f t="shared" si="0"/>
        <v>0</v>
      </c>
      <c r="N21" s="35">
        <f t="shared" si="1"/>
        <v>1</v>
      </c>
      <c r="O21" s="9" t="s">
        <v>79</v>
      </c>
    </row>
    <row r="22" spans="1:15" ht="45" x14ac:dyDescent="0.25">
      <c r="A22" s="1" t="s">
        <v>30</v>
      </c>
      <c r="B22" s="1">
        <v>20000</v>
      </c>
      <c r="C22" s="1">
        <v>30</v>
      </c>
      <c r="D22" s="1" t="s">
        <v>47</v>
      </c>
      <c r="E22" s="1" t="s">
        <v>52</v>
      </c>
      <c r="F22" s="7">
        <v>0.68</v>
      </c>
      <c r="G22" s="7">
        <v>0.3</v>
      </c>
      <c r="H22" s="7">
        <v>0.19</v>
      </c>
      <c r="I22" s="1" t="s">
        <v>119</v>
      </c>
      <c r="J22" s="7">
        <v>-0.01</v>
      </c>
      <c r="K22" s="42">
        <v>0</v>
      </c>
      <c r="L22" s="42">
        <v>0</v>
      </c>
      <c r="M22" s="40">
        <f t="shared" si="0"/>
        <v>0</v>
      </c>
      <c r="N22" s="35">
        <f t="shared" si="1"/>
        <v>1</v>
      </c>
      <c r="O22" s="9" t="s">
        <v>80</v>
      </c>
    </row>
    <row r="23" spans="1:15" ht="30" x14ac:dyDescent="0.25">
      <c r="A23" s="1" t="s">
        <v>31</v>
      </c>
      <c r="B23" s="1">
        <v>60000</v>
      </c>
      <c r="C23" s="1">
        <v>70</v>
      </c>
      <c r="D23" s="1" t="s">
        <v>47</v>
      </c>
      <c r="E23" s="1" t="s">
        <v>52</v>
      </c>
      <c r="F23" s="7">
        <v>0.51</v>
      </c>
      <c r="G23" s="7">
        <v>0.2</v>
      </c>
      <c r="H23" s="7">
        <v>0.18</v>
      </c>
      <c r="I23" s="1" t="s">
        <v>49</v>
      </c>
      <c r="J23" s="8">
        <v>-1.7000000000000001E-2</v>
      </c>
      <c r="K23" s="42">
        <v>3</v>
      </c>
      <c r="L23" s="42">
        <v>12</v>
      </c>
      <c r="M23" s="40">
        <f t="shared" si="0"/>
        <v>0.25714285714285712</v>
      </c>
      <c r="N23" s="35">
        <f t="shared" si="1"/>
        <v>4</v>
      </c>
      <c r="O23" s="9" t="s">
        <v>81</v>
      </c>
    </row>
    <row r="24" spans="1:15" ht="45" x14ac:dyDescent="0.25">
      <c r="A24" s="1" t="s">
        <v>32</v>
      </c>
      <c r="B24" s="1">
        <v>100000</v>
      </c>
      <c r="C24" s="1">
        <v>120</v>
      </c>
      <c r="D24" s="1" t="s">
        <v>47</v>
      </c>
      <c r="E24" s="1" t="s">
        <v>52</v>
      </c>
      <c r="F24" s="7">
        <v>0.51</v>
      </c>
      <c r="G24" s="7">
        <v>0.12</v>
      </c>
      <c r="H24" s="7">
        <v>0.18</v>
      </c>
      <c r="I24" s="1" t="s">
        <v>120</v>
      </c>
      <c r="J24" s="8">
        <v>-8.9999999999999993E-3</v>
      </c>
      <c r="K24" s="42">
        <v>8</v>
      </c>
      <c r="L24" s="42">
        <v>7</v>
      </c>
      <c r="M24" s="40">
        <f t="shared" si="0"/>
        <v>0.19166666666666668</v>
      </c>
      <c r="N24" s="35">
        <f t="shared" si="1"/>
        <v>4</v>
      </c>
      <c r="O24" s="9" t="s">
        <v>82</v>
      </c>
    </row>
    <row r="25" spans="1:15" ht="45" x14ac:dyDescent="0.25">
      <c r="A25" s="1" t="s">
        <v>33</v>
      </c>
      <c r="B25" s="1">
        <v>54000</v>
      </c>
      <c r="C25" s="1">
        <v>60</v>
      </c>
      <c r="D25" s="1" t="s">
        <v>47</v>
      </c>
      <c r="E25" s="1" t="s">
        <v>52</v>
      </c>
      <c r="F25" s="7">
        <v>0.8</v>
      </c>
      <c r="G25" s="7">
        <v>0.37</v>
      </c>
      <c r="H25" s="7">
        <v>0.16</v>
      </c>
      <c r="I25" s="1" t="s">
        <v>121</v>
      </c>
      <c r="J25" s="8">
        <v>-2.1000000000000001E-2</v>
      </c>
      <c r="K25" s="42">
        <v>0</v>
      </c>
      <c r="L25" s="42">
        <v>3</v>
      </c>
      <c r="M25" s="40">
        <f t="shared" si="0"/>
        <v>0.05</v>
      </c>
      <c r="N25" s="35">
        <f t="shared" si="1"/>
        <v>2</v>
      </c>
      <c r="O25" s="9" t="s">
        <v>83</v>
      </c>
    </row>
    <row r="26" spans="1:15" ht="30" x14ac:dyDescent="0.25">
      <c r="A26" s="1" t="s">
        <v>34</v>
      </c>
      <c r="B26" s="1">
        <v>47000</v>
      </c>
      <c r="C26" s="1">
        <v>70</v>
      </c>
      <c r="D26" s="1" t="s">
        <v>47</v>
      </c>
      <c r="E26" s="1" t="s">
        <v>48</v>
      </c>
      <c r="F26" s="7">
        <v>0.36</v>
      </c>
      <c r="G26" s="7">
        <v>0.26</v>
      </c>
      <c r="H26" s="7">
        <v>0.17</v>
      </c>
      <c r="I26" s="1" t="s">
        <v>122</v>
      </c>
      <c r="J26" s="8">
        <v>-2.7E-2</v>
      </c>
      <c r="K26" s="42">
        <v>2</v>
      </c>
      <c r="L26" s="42">
        <v>5</v>
      </c>
      <c r="M26" s="40">
        <f t="shared" si="0"/>
        <v>0.12857142857142856</v>
      </c>
      <c r="N26" s="35">
        <f t="shared" si="1"/>
        <v>3</v>
      </c>
      <c r="O26" s="9" t="s">
        <v>84</v>
      </c>
    </row>
    <row r="27" spans="1:15" ht="30" x14ac:dyDescent="0.25">
      <c r="A27" s="1" t="s">
        <v>35</v>
      </c>
      <c r="B27" s="1">
        <v>45000</v>
      </c>
      <c r="C27" s="1">
        <v>90</v>
      </c>
      <c r="D27" s="1" t="s">
        <v>47</v>
      </c>
      <c r="E27" s="1" t="s">
        <v>52</v>
      </c>
      <c r="F27" s="7">
        <v>0.87</v>
      </c>
      <c r="G27" s="7">
        <v>0.24</v>
      </c>
      <c r="H27" s="7">
        <v>0.2</v>
      </c>
      <c r="I27" s="1" t="s">
        <v>123</v>
      </c>
      <c r="J27" s="8">
        <v>-1.4E-2</v>
      </c>
      <c r="K27" s="42">
        <v>19</v>
      </c>
      <c r="L27" s="42">
        <v>15</v>
      </c>
      <c r="M27" s="40">
        <f t="shared" si="0"/>
        <v>0.58888888888888891</v>
      </c>
      <c r="N27" s="35">
        <f t="shared" si="1"/>
        <v>5</v>
      </c>
      <c r="O27" s="9" t="s">
        <v>85</v>
      </c>
    </row>
    <row r="28" spans="1:15" ht="45" x14ac:dyDescent="0.25">
      <c r="A28" s="1" t="s">
        <v>36</v>
      </c>
      <c r="B28" s="1">
        <v>48000</v>
      </c>
      <c r="C28" s="1">
        <v>50</v>
      </c>
      <c r="D28" s="1" t="s">
        <v>47</v>
      </c>
      <c r="E28" s="1" t="s">
        <v>52</v>
      </c>
      <c r="F28" s="7">
        <v>0.7</v>
      </c>
      <c r="G28" s="7">
        <v>0.28000000000000003</v>
      </c>
      <c r="H28" s="7">
        <v>0.15</v>
      </c>
      <c r="I28" s="1" t="s">
        <v>123</v>
      </c>
      <c r="J28" s="8">
        <v>-1.2999999999999999E-2</v>
      </c>
      <c r="K28" s="42">
        <v>2</v>
      </c>
      <c r="L28" s="42">
        <v>1</v>
      </c>
      <c r="M28" s="40">
        <f t="shared" si="0"/>
        <v>0.1</v>
      </c>
      <c r="N28" s="35">
        <f t="shared" si="1"/>
        <v>3</v>
      </c>
      <c r="O28" s="9" t="s">
        <v>86</v>
      </c>
    </row>
  </sheetData>
  <hyperlinks>
    <hyperlink ref="O2" r:id="rId1" xr:uid="{37EB2BD3-6736-47AA-AA5E-D39DCA9F57B3}"/>
    <hyperlink ref="P2" r:id="rId2" xr:uid="{397037B4-46BE-4345-B6CE-2484ACEB48BA}"/>
    <hyperlink ref="O3" r:id="rId3" xr:uid="{95BFC75A-078D-4AF3-B395-31DB9DFB2C4E}"/>
    <hyperlink ref="O4" r:id="rId4" xr:uid="{41A4646A-F4C3-4E94-8AF4-DC48E1A13EA5}"/>
    <hyperlink ref="O5" r:id="rId5" xr:uid="{0B92426E-85F3-4B36-8451-FA5002FAAE27}"/>
    <hyperlink ref="O27" r:id="rId6" xr:uid="{691FFEA7-967C-467C-8177-2DBA920FFE59}"/>
    <hyperlink ref="O28" r:id="rId7" xr:uid="{F165F037-C42B-41CB-80E8-7DBC05004893}"/>
    <hyperlink ref="O26" r:id="rId8" xr:uid="{09563EF7-1356-42DC-B6A5-D11D8839746A}"/>
    <hyperlink ref="O25" r:id="rId9" xr:uid="{15B8C241-5668-4AF7-B570-C7EAB0049324}"/>
    <hyperlink ref="O24" r:id="rId10" xr:uid="{118517BA-B901-4BC1-9CA0-ECDAB4E0025B}"/>
    <hyperlink ref="O23" r:id="rId11" xr:uid="{C1FF5128-F54E-4251-927D-740AFB9AEE96}"/>
    <hyperlink ref="O22" r:id="rId12" xr:uid="{6B9C8EA9-E8AD-410A-8A5A-66F0404B0928}"/>
    <hyperlink ref="O21" r:id="rId13" xr:uid="{64752738-5B30-47CD-B9A5-9C61D7C12204}"/>
    <hyperlink ref="O20" r:id="rId14" xr:uid="{CD0F1735-E89E-460A-8B21-5AC80A46DEEE}"/>
    <hyperlink ref="O19" r:id="rId15" xr:uid="{D018C277-899D-44EA-BC05-9490FCBE9801}"/>
    <hyperlink ref="O18" r:id="rId16" xr:uid="{A4D1E361-7226-4AC5-ACCA-947EF8AA5401}"/>
    <hyperlink ref="O17" r:id="rId17" xr:uid="{DCAB2C3E-64B6-4FF3-9A7A-D789A9543860}"/>
    <hyperlink ref="O16" r:id="rId18" xr:uid="{9C83631A-3B8F-4E4D-8108-CB3A3A556378}"/>
    <hyperlink ref="O15" r:id="rId19" xr:uid="{5CEF06B9-E5AD-4C13-BF06-D1194DEB6810}"/>
    <hyperlink ref="O14" r:id="rId20" xr:uid="{1DC96273-FE20-4445-8AE9-3DA6140E58F4}"/>
    <hyperlink ref="O13" r:id="rId21" xr:uid="{E63287D3-C74E-4CDE-972E-CDFFB48E6CC9}"/>
    <hyperlink ref="O12" r:id="rId22" xr:uid="{3C4BC1F2-FBF6-4ACD-A520-C985EF8CF07C}"/>
    <hyperlink ref="O11" r:id="rId23" xr:uid="{2E9F9011-18D6-4FF9-9204-735B8D57B334}"/>
    <hyperlink ref="O10" r:id="rId24" xr:uid="{0FD7121E-F167-4AA3-AA2C-468FCEEB9853}"/>
    <hyperlink ref="O9" r:id="rId25" xr:uid="{416B72BD-A3B2-4360-BED2-BD04BC351A0C}"/>
    <hyperlink ref="O8" r:id="rId26" xr:uid="{8ED1B296-4FAE-47E4-8097-D24D9896D900}"/>
    <hyperlink ref="O7" r:id="rId27" xr:uid="{67736483-E6F9-47C2-8638-AF7D619843B7}"/>
    <hyperlink ref="O6" r:id="rId28" xr:uid="{4BE3743D-1F21-4D2B-84C7-AFE4B89B4F42}"/>
    <hyperlink ref="P3" r:id="rId29" xr:uid="{F5A0E789-DB32-4536-A235-3A642E165570}"/>
  </hyperlinks>
  <pageMargins left="0.7" right="0.7" top="0.75" bottom="0.75" header="0.3" footer="0.3"/>
  <legacyDrawing r:id="rId3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9837-93B0-406E-A9BE-BCA2AB6F9E65}">
  <sheetPr filterMode="1"/>
  <dimension ref="A1:G203"/>
  <sheetViews>
    <sheetView workbookViewId="0">
      <selection activeCell="I25" sqref="I25"/>
    </sheetView>
  </sheetViews>
  <sheetFormatPr defaultRowHeight="15" x14ac:dyDescent="0.25"/>
  <cols>
    <col min="1" max="1" width="19.42578125" customWidth="1"/>
    <col min="2" max="2" width="34.28515625" hidden="1" customWidth="1"/>
    <col min="3" max="4" width="19.42578125" customWidth="1"/>
    <col min="5" max="5" width="55.85546875" customWidth="1"/>
    <col min="6" max="6" width="19.42578125" customWidth="1"/>
    <col min="7" max="7" width="14.42578125" customWidth="1"/>
  </cols>
  <sheetData>
    <row r="1" spans="1:7" ht="15.75" x14ac:dyDescent="0.25">
      <c r="A1" s="47" t="s">
        <v>6</v>
      </c>
      <c r="B1" s="47" t="s">
        <v>1163</v>
      </c>
      <c r="C1" s="47" t="s">
        <v>1164</v>
      </c>
      <c r="D1" s="47" t="s">
        <v>1165</v>
      </c>
      <c r="E1" s="47" t="s">
        <v>127</v>
      </c>
      <c r="F1" s="47" t="s">
        <v>88</v>
      </c>
      <c r="G1" s="47" t="s">
        <v>1166</v>
      </c>
    </row>
    <row r="2" spans="1:7" x14ac:dyDescent="0.25">
      <c r="A2" s="48" t="s">
        <v>528</v>
      </c>
      <c r="B2" t="s">
        <v>1167</v>
      </c>
      <c r="C2" s="48" t="s">
        <v>1195</v>
      </c>
      <c r="D2" s="48" t="s">
        <v>1196</v>
      </c>
      <c r="E2" s="48" t="s">
        <v>1173</v>
      </c>
      <c r="F2" s="49" t="s">
        <v>96</v>
      </c>
      <c r="G2" s="48" t="s">
        <v>1197</v>
      </c>
    </row>
    <row r="3" spans="1:7" x14ac:dyDescent="0.25">
      <c r="A3" s="48" t="s">
        <v>528</v>
      </c>
      <c r="B3" t="s">
        <v>1248</v>
      </c>
      <c r="C3" s="48" t="s">
        <v>1437</v>
      </c>
      <c r="D3" s="48" t="s">
        <v>1438</v>
      </c>
      <c r="E3" s="48" t="s">
        <v>1439</v>
      </c>
      <c r="F3" s="49" t="s">
        <v>1440</v>
      </c>
      <c r="G3" s="48" t="s">
        <v>1441</v>
      </c>
    </row>
    <row r="4" spans="1:7" x14ac:dyDescent="0.25">
      <c r="A4" s="48" t="s">
        <v>528</v>
      </c>
      <c r="B4" t="s">
        <v>1498</v>
      </c>
      <c r="C4" s="48" t="s">
        <v>1446</v>
      </c>
      <c r="D4" s="48" t="s">
        <v>1641</v>
      </c>
      <c r="E4" s="48" t="s">
        <v>1560</v>
      </c>
      <c r="F4" s="49" t="s">
        <v>1642</v>
      </c>
      <c r="G4" s="48" t="s">
        <v>1643</v>
      </c>
    </row>
    <row r="5" spans="1:7" x14ac:dyDescent="0.25">
      <c r="A5" s="48" t="s">
        <v>528</v>
      </c>
      <c r="B5" t="s">
        <v>1215</v>
      </c>
      <c r="C5" s="48" t="s">
        <v>1644</v>
      </c>
      <c r="D5" s="48" t="s">
        <v>1645</v>
      </c>
      <c r="E5" s="48" t="s">
        <v>1646</v>
      </c>
      <c r="F5" s="49" t="s">
        <v>1647</v>
      </c>
      <c r="G5" s="48" t="s">
        <v>1648</v>
      </c>
    </row>
    <row r="6" spans="1:7" x14ac:dyDescent="0.25">
      <c r="A6" s="48" t="s">
        <v>528</v>
      </c>
      <c r="B6" t="s">
        <v>1654</v>
      </c>
      <c r="C6" s="48" t="s">
        <v>1655</v>
      </c>
      <c r="D6" s="48" t="s">
        <v>1656</v>
      </c>
      <c r="E6" s="48" t="s">
        <v>1657</v>
      </c>
      <c r="F6" s="49" t="s">
        <v>1658</v>
      </c>
      <c r="G6" s="48" t="s">
        <v>1659</v>
      </c>
    </row>
    <row r="7" spans="1:7" x14ac:dyDescent="0.25">
      <c r="A7" s="48" t="s">
        <v>528</v>
      </c>
      <c r="B7" t="s">
        <v>1231</v>
      </c>
      <c r="C7" s="48" t="s">
        <v>1672</v>
      </c>
      <c r="D7" s="48" t="s">
        <v>1645</v>
      </c>
      <c r="E7" s="48" t="s">
        <v>137</v>
      </c>
      <c r="F7" s="48" t="s">
        <v>100</v>
      </c>
      <c r="G7" s="48" t="s">
        <v>1673</v>
      </c>
    </row>
    <row r="8" spans="1:7" x14ac:dyDescent="0.25">
      <c r="A8" s="48" t="s">
        <v>528</v>
      </c>
      <c r="B8" t="s">
        <v>1492</v>
      </c>
      <c r="C8" s="48" t="s">
        <v>1674</v>
      </c>
      <c r="D8" s="48" t="s">
        <v>1675</v>
      </c>
      <c r="E8" s="48" t="s">
        <v>136</v>
      </c>
      <c r="F8" s="48" t="s">
        <v>98</v>
      </c>
      <c r="G8" s="48" t="s">
        <v>1676</v>
      </c>
    </row>
    <row r="9" spans="1:7" hidden="1" x14ac:dyDescent="0.25">
      <c r="A9" t="s">
        <v>528</v>
      </c>
      <c r="B9" t="s">
        <v>1221</v>
      </c>
      <c r="C9" t="s">
        <v>1858</v>
      </c>
      <c r="D9" t="s">
        <v>1859</v>
      </c>
      <c r="E9" t="s">
        <v>1860</v>
      </c>
      <c r="G9" t="s">
        <v>1861</v>
      </c>
    </row>
    <row r="10" spans="1:7" x14ac:dyDescent="0.25">
      <c r="A10" t="s">
        <v>584</v>
      </c>
      <c r="B10" t="s">
        <v>1167</v>
      </c>
      <c r="C10" t="s">
        <v>1192</v>
      </c>
      <c r="D10" t="s">
        <v>1193</v>
      </c>
      <c r="E10" t="s">
        <v>1173</v>
      </c>
      <c r="F10" t="s">
        <v>125</v>
      </c>
      <c r="G10" t="s">
        <v>1194</v>
      </c>
    </row>
    <row r="11" spans="1:7" x14ac:dyDescent="0.25">
      <c r="A11" t="s">
        <v>584</v>
      </c>
      <c r="B11" t="s">
        <v>1254</v>
      </c>
      <c r="C11" t="s">
        <v>1342</v>
      </c>
      <c r="D11" t="s">
        <v>1343</v>
      </c>
      <c r="E11" t="s">
        <v>133</v>
      </c>
      <c r="F11" t="s">
        <v>132</v>
      </c>
      <c r="G11" t="s">
        <v>1344</v>
      </c>
    </row>
    <row r="12" spans="1:7" x14ac:dyDescent="0.25">
      <c r="A12" t="s">
        <v>584</v>
      </c>
      <c r="B12" t="s">
        <v>1492</v>
      </c>
      <c r="C12" t="s">
        <v>1767</v>
      </c>
      <c r="D12" t="s">
        <v>1768</v>
      </c>
      <c r="E12" t="s">
        <v>136</v>
      </c>
      <c r="F12" t="s">
        <v>1769</v>
      </c>
      <c r="G12" t="s">
        <v>1770</v>
      </c>
    </row>
    <row r="13" spans="1:7" x14ac:dyDescent="0.25">
      <c r="A13" t="s">
        <v>584</v>
      </c>
      <c r="B13" t="s">
        <v>1221</v>
      </c>
      <c r="C13" t="s">
        <v>1566</v>
      </c>
      <c r="D13" t="s">
        <v>1771</v>
      </c>
      <c r="E13" t="s">
        <v>1772</v>
      </c>
      <c r="F13" t="s">
        <v>1773</v>
      </c>
      <c r="G13" t="s">
        <v>1774</v>
      </c>
    </row>
    <row r="14" spans="1:7" x14ac:dyDescent="0.25">
      <c r="A14" t="s">
        <v>584</v>
      </c>
      <c r="B14" t="s">
        <v>1176</v>
      </c>
      <c r="C14" t="s">
        <v>1780</v>
      </c>
      <c r="D14" t="s">
        <v>1781</v>
      </c>
      <c r="E14" t="s">
        <v>128</v>
      </c>
      <c r="F14" t="s">
        <v>135</v>
      </c>
      <c r="G14" t="s">
        <v>1782</v>
      </c>
    </row>
    <row r="15" spans="1:7" x14ac:dyDescent="0.25">
      <c r="A15" s="48" t="s">
        <v>631</v>
      </c>
      <c r="B15" t="s">
        <v>1167</v>
      </c>
      <c r="C15" s="48" t="s">
        <v>1202</v>
      </c>
      <c r="D15" s="48" t="s">
        <v>1203</v>
      </c>
      <c r="E15" s="48" t="s">
        <v>87</v>
      </c>
      <c r="F15" s="48" t="s">
        <v>142</v>
      </c>
      <c r="G15" s="48" t="s">
        <v>1197</v>
      </c>
    </row>
    <row r="16" spans="1:7" x14ac:dyDescent="0.25">
      <c r="A16" s="48" t="s">
        <v>631</v>
      </c>
      <c r="B16" t="s">
        <v>1221</v>
      </c>
      <c r="C16" s="48" t="s">
        <v>1742</v>
      </c>
      <c r="D16" s="48" t="s">
        <v>1743</v>
      </c>
      <c r="E16" s="48" t="s">
        <v>143</v>
      </c>
      <c r="F16" s="48" t="s">
        <v>145</v>
      </c>
      <c r="G16" s="48" t="s">
        <v>1744</v>
      </c>
    </row>
    <row r="17" spans="1:7" hidden="1" x14ac:dyDescent="0.25">
      <c r="A17" t="s">
        <v>631</v>
      </c>
      <c r="B17" t="s">
        <v>1215</v>
      </c>
      <c r="C17" t="s">
        <v>1745</v>
      </c>
      <c r="D17" t="s">
        <v>1746</v>
      </c>
      <c r="E17" t="s">
        <v>1747</v>
      </c>
      <c r="G17" t="s">
        <v>1748</v>
      </c>
    </row>
    <row r="18" spans="1:7" x14ac:dyDescent="0.25">
      <c r="A18" s="48" t="s">
        <v>631</v>
      </c>
      <c r="B18" t="s">
        <v>1215</v>
      </c>
      <c r="C18" s="48" t="s">
        <v>1873</v>
      </c>
      <c r="D18" s="48" t="s">
        <v>1874</v>
      </c>
      <c r="E18" s="48" t="s">
        <v>1875</v>
      </c>
      <c r="F18" s="48" t="s">
        <v>1876</v>
      </c>
      <c r="G18" s="48" t="s">
        <v>1748</v>
      </c>
    </row>
    <row r="19" spans="1:7" x14ac:dyDescent="0.25">
      <c r="A19" s="48" t="s">
        <v>631</v>
      </c>
      <c r="B19" t="s">
        <v>1231</v>
      </c>
      <c r="C19" s="48" t="s">
        <v>1877</v>
      </c>
      <c r="D19" s="48" t="s">
        <v>1878</v>
      </c>
      <c r="E19" s="48" t="s">
        <v>146</v>
      </c>
      <c r="F19" s="48" t="s">
        <v>148</v>
      </c>
      <c r="G19" s="48" t="s">
        <v>1744</v>
      </c>
    </row>
    <row r="20" spans="1:7" x14ac:dyDescent="0.25">
      <c r="A20" s="48" t="s">
        <v>631</v>
      </c>
      <c r="B20" t="s">
        <v>1176</v>
      </c>
      <c r="C20" s="48" t="s">
        <v>1908</v>
      </c>
      <c r="D20" s="48" t="s">
        <v>1469</v>
      </c>
      <c r="E20" s="48" t="s">
        <v>1909</v>
      </c>
      <c r="F20" s="48" t="s">
        <v>151</v>
      </c>
      <c r="G20" s="48" t="s">
        <v>1910</v>
      </c>
    </row>
    <row r="21" spans="1:7" hidden="1" x14ac:dyDescent="0.25">
      <c r="A21" t="s">
        <v>631</v>
      </c>
      <c r="B21" t="s">
        <v>1258</v>
      </c>
      <c r="C21" t="s">
        <v>1918</v>
      </c>
      <c r="D21" t="s">
        <v>1919</v>
      </c>
      <c r="E21" t="s">
        <v>1920</v>
      </c>
      <c r="F21" t="s">
        <v>1921</v>
      </c>
      <c r="G21" t="s">
        <v>1744</v>
      </c>
    </row>
    <row r="22" spans="1:7" x14ac:dyDescent="0.25">
      <c r="A22" s="48" t="s">
        <v>631</v>
      </c>
      <c r="B22" t="s">
        <v>1176</v>
      </c>
      <c r="C22" s="48" t="s">
        <v>1946</v>
      </c>
      <c r="D22" s="48" t="s">
        <v>1656</v>
      </c>
      <c r="E22" s="48" t="s">
        <v>1947</v>
      </c>
      <c r="F22" s="48" t="s">
        <v>1948</v>
      </c>
      <c r="G22" s="48" t="s">
        <v>1744</v>
      </c>
    </row>
    <row r="23" spans="1:7" hidden="1" x14ac:dyDescent="0.25">
      <c r="A23" t="s">
        <v>631</v>
      </c>
      <c r="B23" t="s">
        <v>1498</v>
      </c>
      <c r="C23" t="s">
        <v>1356</v>
      </c>
      <c r="D23" t="s">
        <v>1952</v>
      </c>
      <c r="E23" t="s">
        <v>1953</v>
      </c>
      <c r="G23" t="s">
        <v>1954</v>
      </c>
    </row>
    <row r="24" spans="1:7" hidden="1" x14ac:dyDescent="0.25">
      <c r="A24" t="s">
        <v>1131</v>
      </c>
      <c r="B24" t="s">
        <v>1167</v>
      </c>
      <c r="C24" t="s">
        <v>1373</v>
      </c>
      <c r="D24" t="s">
        <v>1374</v>
      </c>
      <c r="E24" t="s">
        <v>1375</v>
      </c>
      <c r="G24" t="s">
        <v>1376</v>
      </c>
    </row>
    <row r="25" spans="1:7" x14ac:dyDescent="0.25">
      <c r="A25" t="s">
        <v>1131</v>
      </c>
      <c r="B25" t="s">
        <v>1492</v>
      </c>
      <c r="C25" t="s">
        <v>1502</v>
      </c>
      <c r="D25" t="s">
        <v>1181</v>
      </c>
      <c r="E25" t="s">
        <v>136</v>
      </c>
      <c r="F25" t="s">
        <v>154</v>
      </c>
      <c r="G25" t="s">
        <v>1197</v>
      </c>
    </row>
    <row r="26" spans="1:7" x14ac:dyDescent="0.25">
      <c r="A26" t="s">
        <v>1131</v>
      </c>
      <c r="B26" t="s">
        <v>1231</v>
      </c>
      <c r="C26" t="s">
        <v>1389</v>
      </c>
      <c r="D26" t="s">
        <v>1583</v>
      </c>
      <c r="E26" t="s">
        <v>156</v>
      </c>
      <c r="F26" t="s">
        <v>158</v>
      </c>
      <c r="G26" t="s">
        <v>1584</v>
      </c>
    </row>
    <row r="27" spans="1:7" x14ac:dyDescent="0.25">
      <c r="A27" t="s">
        <v>1131</v>
      </c>
      <c r="B27" t="s">
        <v>1215</v>
      </c>
      <c r="C27" t="s">
        <v>1281</v>
      </c>
      <c r="D27" t="s">
        <v>1585</v>
      </c>
      <c r="E27" t="s">
        <v>1586</v>
      </c>
      <c r="F27" t="s">
        <v>1587</v>
      </c>
      <c r="G27" t="s">
        <v>1588</v>
      </c>
    </row>
    <row r="28" spans="1:7" x14ac:dyDescent="0.25">
      <c r="A28" s="48" t="s">
        <v>580</v>
      </c>
      <c r="B28" t="s">
        <v>1167</v>
      </c>
      <c r="C28" s="48" t="s">
        <v>1204</v>
      </c>
      <c r="D28" s="48" t="s">
        <v>1205</v>
      </c>
      <c r="E28" s="48" t="s">
        <v>87</v>
      </c>
      <c r="F28" s="48" t="s">
        <v>227</v>
      </c>
      <c r="G28" s="48" t="s">
        <v>1206</v>
      </c>
    </row>
    <row r="29" spans="1:7" x14ac:dyDescent="0.25">
      <c r="A29" s="48" t="s">
        <v>580</v>
      </c>
      <c r="B29" t="s">
        <v>1254</v>
      </c>
      <c r="C29" s="48" t="s">
        <v>1281</v>
      </c>
      <c r="D29" s="48" t="s">
        <v>1282</v>
      </c>
      <c r="E29" s="48" t="s">
        <v>1283</v>
      </c>
      <c r="F29" s="48" t="s">
        <v>1284</v>
      </c>
      <c r="G29" s="48" t="s">
        <v>1285</v>
      </c>
    </row>
    <row r="30" spans="1:7" x14ac:dyDescent="0.25">
      <c r="A30" s="48" t="s">
        <v>580</v>
      </c>
      <c r="B30" t="s">
        <v>1258</v>
      </c>
      <c r="C30" s="48" t="s">
        <v>1307</v>
      </c>
      <c r="D30" s="48" t="s">
        <v>1193</v>
      </c>
      <c r="E30" s="48" t="s">
        <v>1308</v>
      </c>
      <c r="F30" s="48" t="s">
        <v>1309</v>
      </c>
      <c r="G30" s="48" t="s">
        <v>1310</v>
      </c>
    </row>
    <row r="31" spans="1:7" x14ac:dyDescent="0.25">
      <c r="A31" s="48" t="s">
        <v>580</v>
      </c>
      <c r="B31" t="s">
        <v>1254</v>
      </c>
      <c r="C31" s="48" t="s">
        <v>1454</v>
      </c>
      <c r="D31" s="48" t="s">
        <v>1455</v>
      </c>
      <c r="E31" s="48" t="s">
        <v>220</v>
      </c>
      <c r="F31" s="48" t="s">
        <v>222</v>
      </c>
      <c r="G31" s="48" t="s">
        <v>1456</v>
      </c>
    </row>
    <row r="32" spans="1:7" x14ac:dyDescent="0.25">
      <c r="A32" s="48" t="s">
        <v>580</v>
      </c>
      <c r="B32" t="s">
        <v>1215</v>
      </c>
      <c r="C32" s="48" t="s">
        <v>1749</v>
      </c>
      <c r="D32" s="48" t="s">
        <v>1750</v>
      </c>
      <c r="E32" s="48" t="s">
        <v>1751</v>
      </c>
      <c r="F32" s="48" t="s">
        <v>1752</v>
      </c>
      <c r="G32" s="48" t="s">
        <v>1753</v>
      </c>
    </row>
    <row r="33" spans="1:7" x14ac:dyDescent="0.25">
      <c r="A33" s="48" t="s">
        <v>580</v>
      </c>
      <c r="B33" t="s">
        <v>1221</v>
      </c>
      <c r="C33" s="48" t="s">
        <v>1754</v>
      </c>
      <c r="D33" s="48" t="s">
        <v>1755</v>
      </c>
      <c r="E33" s="48" t="s">
        <v>1625</v>
      </c>
      <c r="F33" s="48" t="s">
        <v>1756</v>
      </c>
      <c r="G33" s="48" t="s">
        <v>1757</v>
      </c>
    </row>
    <row r="34" spans="1:7" x14ac:dyDescent="0.25">
      <c r="A34" s="48" t="s">
        <v>580</v>
      </c>
      <c r="B34" t="s">
        <v>1498</v>
      </c>
      <c r="C34" s="48" t="s">
        <v>1575</v>
      </c>
      <c r="D34" s="48" t="s">
        <v>1758</v>
      </c>
      <c r="E34" s="48" t="s">
        <v>1759</v>
      </c>
      <c r="F34" s="48" t="s">
        <v>1760</v>
      </c>
      <c r="G34" s="48" t="s">
        <v>1761</v>
      </c>
    </row>
    <row r="35" spans="1:7" x14ac:dyDescent="0.25">
      <c r="A35" t="s">
        <v>919</v>
      </c>
      <c r="B35" t="s">
        <v>1167</v>
      </c>
      <c r="C35" t="s">
        <v>1168</v>
      </c>
      <c r="D35" t="s">
        <v>1169</v>
      </c>
      <c r="E35" t="s">
        <v>87</v>
      </c>
      <c r="F35" t="s">
        <v>242</v>
      </c>
      <c r="G35" t="s">
        <v>1170</v>
      </c>
    </row>
    <row r="36" spans="1:7" x14ac:dyDescent="0.25">
      <c r="A36" t="s">
        <v>919</v>
      </c>
      <c r="B36" t="s">
        <v>1248</v>
      </c>
      <c r="C36" t="s">
        <v>1263</v>
      </c>
      <c r="D36" t="s">
        <v>1264</v>
      </c>
      <c r="E36" t="s">
        <v>1265</v>
      </c>
      <c r="F36" t="s">
        <v>1266</v>
      </c>
      <c r="G36" t="s">
        <v>1267</v>
      </c>
    </row>
    <row r="37" spans="1:7" x14ac:dyDescent="0.25">
      <c r="A37" t="s">
        <v>919</v>
      </c>
      <c r="B37" t="s">
        <v>1258</v>
      </c>
      <c r="C37" t="s">
        <v>1398</v>
      </c>
      <c r="D37" t="s">
        <v>1399</v>
      </c>
      <c r="E37" t="s">
        <v>1400</v>
      </c>
      <c r="F37" t="s">
        <v>1401</v>
      </c>
      <c r="G37" t="s">
        <v>1197</v>
      </c>
    </row>
    <row r="38" spans="1:7" x14ac:dyDescent="0.25">
      <c r="A38" t="s">
        <v>919</v>
      </c>
      <c r="B38" t="s">
        <v>1221</v>
      </c>
      <c r="C38" t="s">
        <v>1729</v>
      </c>
      <c r="D38" t="s">
        <v>1730</v>
      </c>
      <c r="E38" t="s">
        <v>233</v>
      </c>
      <c r="F38" t="s">
        <v>235</v>
      </c>
      <c r="G38" t="s">
        <v>1731</v>
      </c>
    </row>
    <row r="39" spans="1:7" hidden="1" x14ac:dyDescent="0.25">
      <c r="A39" t="s">
        <v>919</v>
      </c>
      <c r="B39" t="s">
        <v>1654</v>
      </c>
      <c r="C39" t="s">
        <v>1737</v>
      </c>
      <c r="D39" t="s">
        <v>1738</v>
      </c>
      <c r="E39" t="s">
        <v>1739</v>
      </c>
      <c r="F39" t="s">
        <v>1740</v>
      </c>
      <c r="G39" t="s">
        <v>1741</v>
      </c>
    </row>
    <row r="40" spans="1:7" x14ac:dyDescent="0.25">
      <c r="A40" t="s">
        <v>919</v>
      </c>
      <c r="B40" t="s">
        <v>1215</v>
      </c>
      <c r="C40" t="s">
        <v>1804</v>
      </c>
      <c r="D40" t="s">
        <v>1805</v>
      </c>
      <c r="E40" t="s">
        <v>1806</v>
      </c>
      <c r="F40" t="s">
        <v>1807</v>
      </c>
      <c r="G40" t="s">
        <v>1808</v>
      </c>
    </row>
    <row r="41" spans="1:7" x14ac:dyDescent="0.25">
      <c r="A41" t="s">
        <v>919</v>
      </c>
      <c r="B41" t="s">
        <v>1498</v>
      </c>
      <c r="C41" t="s">
        <v>1882</v>
      </c>
      <c r="D41" t="s">
        <v>1883</v>
      </c>
      <c r="E41" t="s">
        <v>1884</v>
      </c>
      <c r="F41" t="s">
        <v>1885</v>
      </c>
      <c r="G41" t="s">
        <v>1886</v>
      </c>
    </row>
    <row r="42" spans="1:7" x14ac:dyDescent="0.25">
      <c r="A42" t="s">
        <v>919</v>
      </c>
      <c r="B42" t="s">
        <v>1231</v>
      </c>
      <c r="C42" t="s">
        <v>1307</v>
      </c>
      <c r="D42" t="s">
        <v>1357</v>
      </c>
      <c r="E42" t="s">
        <v>236</v>
      </c>
      <c r="F42" t="s">
        <v>237</v>
      </c>
      <c r="G42" t="s">
        <v>1887</v>
      </c>
    </row>
    <row r="43" spans="1:7" x14ac:dyDescent="0.25">
      <c r="A43" t="s">
        <v>919</v>
      </c>
      <c r="B43" t="s">
        <v>1254</v>
      </c>
      <c r="C43" t="s">
        <v>1944</v>
      </c>
      <c r="D43" t="s">
        <v>1844</v>
      </c>
      <c r="E43" t="s">
        <v>239</v>
      </c>
      <c r="F43" t="s">
        <v>241</v>
      </c>
      <c r="G43" t="s">
        <v>1945</v>
      </c>
    </row>
    <row r="44" spans="1:7" hidden="1" x14ac:dyDescent="0.25">
      <c r="A44" t="s">
        <v>919</v>
      </c>
      <c r="B44" t="s">
        <v>1221</v>
      </c>
      <c r="C44" t="s">
        <v>1949</v>
      </c>
      <c r="D44" t="s">
        <v>1933</v>
      </c>
      <c r="E44" t="s">
        <v>1950</v>
      </c>
      <c r="G44" t="s">
        <v>1951</v>
      </c>
    </row>
    <row r="45" spans="1:7" hidden="1" x14ac:dyDescent="0.25">
      <c r="A45" t="s">
        <v>433</v>
      </c>
      <c r="B45" t="s">
        <v>1254</v>
      </c>
      <c r="C45" t="s">
        <v>1268</v>
      </c>
      <c r="D45" t="s">
        <v>1269</v>
      </c>
      <c r="E45" t="s">
        <v>1270</v>
      </c>
      <c r="G45" t="s">
        <v>1271</v>
      </c>
    </row>
    <row r="46" spans="1:7" x14ac:dyDescent="0.25">
      <c r="A46" s="48" t="s">
        <v>433</v>
      </c>
      <c r="B46" t="s">
        <v>1254</v>
      </c>
      <c r="C46" s="48" t="s">
        <v>1420</v>
      </c>
      <c r="D46" s="48" t="s">
        <v>1421</v>
      </c>
      <c r="E46" s="48" t="s">
        <v>1422</v>
      </c>
      <c r="F46" s="48" t="s">
        <v>1423</v>
      </c>
      <c r="G46" s="48" t="s">
        <v>1271</v>
      </c>
    </row>
    <row r="47" spans="1:7" x14ac:dyDescent="0.25">
      <c r="A47" s="48" t="s">
        <v>433</v>
      </c>
      <c r="B47" t="s">
        <v>1258</v>
      </c>
      <c r="C47" s="48" t="s">
        <v>1468</v>
      </c>
      <c r="D47" s="48" t="s">
        <v>1469</v>
      </c>
      <c r="E47" s="48" t="s">
        <v>1470</v>
      </c>
      <c r="F47" s="48" t="s">
        <v>1471</v>
      </c>
      <c r="G47" s="48" t="s">
        <v>1472</v>
      </c>
    </row>
    <row r="48" spans="1:7" x14ac:dyDescent="0.25">
      <c r="A48" s="48" t="s">
        <v>433</v>
      </c>
      <c r="B48" t="s">
        <v>1254</v>
      </c>
      <c r="C48" s="48" t="s">
        <v>1490</v>
      </c>
      <c r="D48" s="48" t="s">
        <v>1491</v>
      </c>
      <c r="E48" s="48" t="s">
        <v>248</v>
      </c>
      <c r="F48" s="48" t="s">
        <v>249</v>
      </c>
      <c r="G48" s="48" t="s">
        <v>1472</v>
      </c>
    </row>
    <row r="49" spans="1:7" x14ac:dyDescent="0.25">
      <c r="A49" s="48" t="s">
        <v>433</v>
      </c>
      <c r="B49" t="s">
        <v>1248</v>
      </c>
      <c r="C49" s="48" t="s">
        <v>1520</v>
      </c>
      <c r="D49" s="48" t="s">
        <v>1521</v>
      </c>
      <c r="E49" s="48" t="s">
        <v>1522</v>
      </c>
      <c r="F49" s="48" t="s">
        <v>1523</v>
      </c>
      <c r="G49" s="48" t="s">
        <v>1524</v>
      </c>
    </row>
    <row r="50" spans="1:7" x14ac:dyDescent="0.25">
      <c r="A50" s="48" t="s">
        <v>433</v>
      </c>
      <c r="B50" t="s">
        <v>1254</v>
      </c>
      <c r="C50" s="48" t="s">
        <v>1530</v>
      </c>
      <c r="D50" s="48" t="s">
        <v>1531</v>
      </c>
      <c r="E50" s="48" t="s">
        <v>1532</v>
      </c>
      <c r="F50" s="48" t="s">
        <v>1533</v>
      </c>
      <c r="G50" s="48" t="s">
        <v>1197</v>
      </c>
    </row>
    <row r="51" spans="1:7" x14ac:dyDescent="0.25">
      <c r="A51" s="48" t="s">
        <v>433</v>
      </c>
      <c r="B51" t="s">
        <v>1231</v>
      </c>
      <c r="C51" s="48" t="s">
        <v>1762</v>
      </c>
      <c r="D51" s="48" t="s">
        <v>1763</v>
      </c>
      <c r="E51" s="48" t="s">
        <v>245</v>
      </c>
      <c r="F51" s="48" t="s">
        <v>247</v>
      </c>
      <c r="G51" s="48" t="s">
        <v>1764</v>
      </c>
    </row>
    <row r="52" spans="1:7" x14ac:dyDescent="0.25">
      <c r="A52" s="48" t="s">
        <v>433</v>
      </c>
      <c r="B52" t="s">
        <v>1221</v>
      </c>
      <c r="C52" s="48" t="s">
        <v>1765</v>
      </c>
      <c r="D52" s="48" t="s">
        <v>1766</v>
      </c>
      <c r="E52" s="48" t="s">
        <v>136</v>
      </c>
      <c r="F52" s="48" t="s">
        <v>243</v>
      </c>
      <c r="G52" s="48" t="s">
        <v>1472</v>
      </c>
    </row>
    <row r="53" spans="1:7" x14ac:dyDescent="0.25">
      <c r="A53" s="48" t="s">
        <v>433</v>
      </c>
      <c r="B53" t="s">
        <v>1498</v>
      </c>
      <c r="C53" s="48" t="s">
        <v>1775</v>
      </c>
      <c r="D53" s="48" t="s">
        <v>1776</v>
      </c>
      <c r="E53" s="48" t="s">
        <v>1777</v>
      </c>
      <c r="F53" s="48" t="s">
        <v>1778</v>
      </c>
      <c r="G53" s="48" t="s">
        <v>1779</v>
      </c>
    </row>
    <row r="54" spans="1:7" x14ac:dyDescent="0.25">
      <c r="A54" s="48" t="s">
        <v>433</v>
      </c>
      <c r="B54" t="s">
        <v>1215</v>
      </c>
      <c r="C54" s="48" t="s">
        <v>1413</v>
      </c>
      <c r="D54" s="48" t="s">
        <v>1783</v>
      </c>
      <c r="E54" s="48" t="s">
        <v>1784</v>
      </c>
      <c r="F54" s="48" t="s">
        <v>1785</v>
      </c>
      <c r="G54" s="48" t="s">
        <v>1786</v>
      </c>
    </row>
    <row r="55" spans="1:7" x14ac:dyDescent="0.25">
      <c r="A55" s="48" t="s">
        <v>433</v>
      </c>
      <c r="B55" t="s">
        <v>1231</v>
      </c>
      <c r="C55" s="48" t="s">
        <v>1813</v>
      </c>
      <c r="D55" s="48" t="s">
        <v>1814</v>
      </c>
      <c r="E55" s="48" t="s">
        <v>1815</v>
      </c>
      <c r="F55" s="48" t="s">
        <v>1816</v>
      </c>
      <c r="G55" s="48" t="s">
        <v>1764</v>
      </c>
    </row>
    <row r="56" spans="1:7" hidden="1" x14ac:dyDescent="0.25">
      <c r="A56" t="s">
        <v>433</v>
      </c>
      <c r="B56" t="s">
        <v>1654</v>
      </c>
      <c r="C56" t="s">
        <v>1922</v>
      </c>
      <c r="D56" t="s">
        <v>1521</v>
      </c>
      <c r="E56" t="s">
        <v>1923</v>
      </c>
      <c r="F56" t="s">
        <v>1924</v>
      </c>
      <c r="G56" t="s">
        <v>1925</v>
      </c>
    </row>
    <row r="57" spans="1:7" x14ac:dyDescent="0.25">
      <c r="A57" s="48" t="s">
        <v>433</v>
      </c>
      <c r="B57" t="s">
        <v>1248</v>
      </c>
      <c r="C57" s="48" t="s">
        <v>1342</v>
      </c>
      <c r="D57" s="48" t="s">
        <v>1926</v>
      </c>
      <c r="E57" s="48" t="s">
        <v>1927</v>
      </c>
      <c r="F57" s="48" t="s">
        <v>1928</v>
      </c>
      <c r="G57" s="48" t="s">
        <v>1472</v>
      </c>
    </row>
    <row r="58" spans="1:7" hidden="1" x14ac:dyDescent="0.25">
      <c r="A58" t="s">
        <v>433</v>
      </c>
      <c r="B58" t="s">
        <v>1221</v>
      </c>
      <c r="C58" t="s">
        <v>1937</v>
      </c>
      <c r="D58" t="s">
        <v>1938</v>
      </c>
      <c r="E58" t="s">
        <v>1939</v>
      </c>
      <c r="G58" t="s">
        <v>1472</v>
      </c>
    </row>
    <row r="59" spans="1:7" hidden="1" x14ac:dyDescent="0.25">
      <c r="A59" t="s">
        <v>492</v>
      </c>
      <c r="B59" t="s">
        <v>1254</v>
      </c>
      <c r="C59" t="s">
        <v>1272</v>
      </c>
      <c r="D59" t="s">
        <v>1273</v>
      </c>
      <c r="E59" t="s">
        <v>1274</v>
      </c>
      <c r="G59" t="s">
        <v>1275</v>
      </c>
    </row>
    <row r="60" spans="1:7" x14ac:dyDescent="0.25">
      <c r="A60" t="s">
        <v>492</v>
      </c>
      <c r="B60" t="s">
        <v>1258</v>
      </c>
      <c r="C60" t="s">
        <v>1276</v>
      </c>
      <c r="D60" t="s">
        <v>1277</v>
      </c>
      <c r="E60" t="s">
        <v>1278</v>
      </c>
      <c r="F60" t="s">
        <v>1279</v>
      </c>
      <c r="G60" t="s">
        <v>1280</v>
      </c>
    </row>
    <row r="61" spans="1:7" x14ac:dyDescent="0.25">
      <c r="A61" t="s">
        <v>492</v>
      </c>
      <c r="B61" t="s">
        <v>1167</v>
      </c>
      <c r="C61" t="s">
        <v>1369</v>
      </c>
      <c r="D61" t="s">
        <v>1370</v>
      </c>
      <c r="E61" t="s">
        <v>1173</v>
      </c>
      <c r="F61" t="s">
        <v>1371</v>
      </c>
      <c r="G61" t="s">
        <v>1372</v>
      </c>
    </row>
    <row r="62" spans="1:7" x14ac:dyDescent="0.25">
      <c r="A62" t="s">
        <v>492</v>
      </c>
      <c r="B62" t="s">
        <v>1254</v>
      </c>
      <c r="C62" t="s">
        <v>1406</v>
      </c>
      <c r="D62" t="s">
        <v>1407</v>
      </c>
      <c r="E62" t="s">
        <v>239</v>
      </c>
      <c r="F62" t="s">
        <v>257</v>
      </c>
      <c r="G62" t="s">
        <v>1408</v>
      </c>
    </row>
    <row r="63" spans="1:7" x14ac:dyDescent="0.25">
      <c r="A63" t="s">
        <v>492</v>
      </c>
      <c r="B63" t="s">
        <v>1248</v>
      </c>
      <c r="C63" t="s">
        <v>1483</v>
      </c>
      <c r="D63" t="s">
        <v>1484</v>
      </c>
      <c r="E63" t="s">
        <v>1485</v>
      </c>
      <c r="F63" t="s">
        <v>1486</v>
      </c>
      <c r="G63" t="s">
        <v>1372</v>
      </c>
    </row>
    <row r="64" spans="1:7" x14ac:dyDescent="0.25">
      <c r="A64" t="s">
        <v>492</v>
      </c>
      <c r="B64" t="s">
        <v>1167</v>
      </c>
      <c r="C64" t="s">
        <v>1369</v>
      </c>
      <c r="D64" t="s">
        <v>1503</v>
      </c>
      <c r="E64" t="s">
        <v>87</v>
      </c>
      <c r="F64" t="s">
        <v>262</v>
      </c>
      <c r="G64" t="s">
        <v>1372</v>
      </c>
    </row>
    <row r="65" spans="1:7" hidden="1" x14ac:dyDescent="0.25">
      <c r="A65" t="s">
        <v>492</v>
      </c>
      <c r="B65" t="s">
        <v>1492</v>
      </c>
      <c r="C65" t="s">
        <v>1551</v>
      </c>
      <c r="D65" t="s">
        <v>1552</v>
      </c>
      <c r="E65" t="s">
        <v>1553</v>
      </c>
      <c r="F65" t="s">
        <v>1554</v>
      </c>
      <c r="G65" t="s">
        <v>1372</v>
      </c>
    </row>
    <row r="66" spans="1:7" x14ac:dyDescent="0.25">
      <c r="A66" t="s">
        <v>492</v>
      </c>
      <c r="B66" t="s">
        <v>1231</v>
      </c>
      <c r="C66" t="s">
        <v>1555</v>
      </c>
      <c r="D66" t="s">
        <v>1556</v>
      </c>
      <c r="E66" t="s">
        <v>156</v>
      </c>
      <c r="F66" t="s">
        <v>255</v>
      </c>
      <c r="G66" t="s">
        <v>1557</v>
      </c>
    </row>
    <row r="67" spans="1:7" x14ac:dyDescent="0.25">
      <c r="A67" t="s">
        <v>492</v>
      </c>
      <c r="B67" t="s">
        <v>1498</v>
      </c>
      <c r="C67" t="s">
        <v>1558</v>
      </c>
      <c r="D67" t="s">
        <v>1559</v>
      </c>
      <c r="E67" t="s">
        <v>1560</v>
      </c>
      <c r="F67" t="s">
        <v>1561</v>
      </c>
      <c r="G67" t="s">
        <v>1562</v>
      </c>
    </row>
    <row r="68" spans="1:7" x14ac:dyDescent="0.25">
      <c r="A68" s="48" t="s">
        <v>497</v>
      </c>
      <c r="B68" t="s">
        <v>1221</v>
      </c>
      <c r="C68" s="48" t="s">
        <v>1243</v>
      </c>
      <c r="D68" s="48" t="s">
        <v>1244</v>
      </c>
      <c r="E68" s="48" t="s">
        <v>1245</v>
      </c>
      <c r="F68" s="48" t="s">
        <v>1246</v>
      </c>
      <c r="G68" s="48" t="s">
        <v>1247</v>
      </c>
    </row>
    <row r="69" spans="1:7" x14ac:dyDescent="0.25">
      <c r="A69" s="48" t="s">
        <v>497</v>
      </c>
      <c r="B69" t="s">
        <v>1167</v>
      </c>
      <c r="C69" s="48" t="s">
        <v>1381</v>
      </c>
      <c r="D69" s="48" t="s">
        <v>1382</v>
      </c>
      <c r="E69" s="48" t="s">
        <v>1173</v>
      </c>
      <c r="F69" s="48" t="s">
        <v>1383</v>
      </c>
      <c r="G69" s="48" t="s">
        <v>1247</v>
      </c>
    </row>
    <row r="70" spans="1:7" x14ac:dyDescent="0.25">
      <c r="A70" s="48" t="s">
        <v>497</v>
      </c>
      <c r="B70" t="s">
        <v>1254</v>
      </c>
      <c r="C70" s="48" t="s">
        <v>1428</v>
      </c>
      <c r="D70" s="48" t="s">
        <v>1429</v>
      </c>
      <c r="E70" s="48" t="s">
        <v>1430</v>
      </c>
      <c r="F70" s="48" t="s">
        <v>1431</v>
      </c>
      <c r="G70" s="48" t="s">
        <v>1432</v>
      </c>
    </row>
    <row r="71" spans="1:7" x14ac:dyDescent="0.25">
      <c r="A71" s="48" t="s">
        <v>497</v>
      </c>
      <c r="B71" t="s">
        <v>1221</v>
      </c>
      <c r="C71" s="48" t="s">
        <v>1787</v>
      </c>
      <c r="D71" s="48" t="s">
        <v>1223</v>
      </c>
      <c r="E71" s="48" t="s">
        <v>136</v>
      </c>
      <c r="F71" s="48" t="s">
        <v>1788</v>
      </c>
      <c r="G71" s="48" t="s">
        <v>1789</v>
      </c>
    </row>
    <row r="72" spans="1:7" hidden="1" x14ac:dyDescent="0.25">
      <c r="A72" t="s">
        <v>497</v>
      </c>
      <c r="B72" t="s">
        <v>1248</v>
      </c>
      <c r="C72" t="s">
        <v>1487</v>
      </c>
      <c r="D72" t="s">
        <v>1790</v>
      </c>
      <c r="E72" t="s">
        <v>1791</v>
      </c>
      <c r="F72" t="s">
        <v>1792</v>
      </c>
      <c r="G72" t="s">
        <v>1793</v>
      </c>
    </row>
    <row r="73" spans="1:7" x14ac:dyDescent="0.25">
      <c r="A73" s="48" t="s">
        <v>497</v>
      </c>
      <c r="B73" t="s">
        <v>1254</v>
      </c>
      <c r="C73" s="48" t="s">
        <v>1794</v>
      </c>
      <c r="D73" s="48" t="s">
        <v>1795</v>
      </c>
      <c r="E73" s="48" t="s">
        <v>1796</v>
      </c>
      <c r="F73" s="48" t="s">
        <v>1797</v>
      </c>
      <c r="G73" s="48" t="s">
        <v>1798</v>
      </c>
    </row>
    <row r="74" spans="1:7" x14ac:dyDescent="0.25">
      <c r="A74" s="48" t="s">
        <v>497</v>
      </c>
      <c r="B74" t="s">
        <v>1231</v>
      </c>
      <c r="C74" s="48" t="s">
        <v>1799</v>
      </c>
      <c r="D74" s="48" t="s">
        <v>1800</v>
      </c>
      <c r="E74" s="48" t="s">
        <v>1801</v>
      </c>
      <c r="F74" s="48" t="s">
        <v>1802</v>
      </c>
      <c r="G74" s="48" t="s">
        <v>1803</v>
      </c>
    </row>
    <row r="75" spans="1:7" x14ac:dyDescent="0.25">
      <c r="A75" s="48" t="s">
        <v>497</v>
      </c>
      <c r="B75" t="s">
        <v>1221</v>
      </c>
      <c r="C75" s="48" t="s">
        <v>1602</v>
      </c>
      <c r="D75" s="48" t="s">
        <v>1809</v>
      </c>
      <c r="E75" s="48" t="s">
        <v>1810</v>
      </c>
      <c r="F75" s="48" t="s">
        <v>1811</v>
      </c>
      <c r="G75" s="48" t="s">
        <v>1812</v>
      </c>
    </row>
    <row r="76" spans="1:7" x14ac:dyDescent="0.25">
      <c r="A76" s="48" t="s">
        <v>497</v>
      </c>
      <c r="B76" t="s">
        <v>1258</v>
      </c>
      <c r="C76" s="48" t="s">
        <v>1817</v>
      </c>
      <c r="D76" s="48" t="s">
        <v>1818</v>
      </c>
      <c r="E76" s="48" t="s">
        <v>1819</v>
      </c>
      <c r="F76" s="48" t="s">
        <v>1820</v>
      </c>
      <c r="G76" s="48" t="s">
        <v>1821</v>
      </c>
    </row>
    <row r="77" spans="1:7" x14ac:dyDescent="0.25">
      <c r="A77" s="48" t="s">
        <v>497</v>
      </c>
      <c r="B77" t="s">
        <v>1231</v>
      </c>
      <c r="C77" s="48" t="s">
        <v>1843</v>
      </c>
      <c r="D77" s="48" t="s">
        <v>1891</v>
      </c>
      <c r="E77" s="48" t="s">
        <v>1892</v>
      </c>
      <c r="F77" s="48" t="s">
        <v>1893</v>
      </c>
      <c r="G77" s="48" t="s">
        <v>1894</v>
      </c>
    </row>
    <row r="78" spans="1:7" x14ac:dyDescent="0.25">
      <c r="A78" s="48" t="s">
        <v>497</v>
      </c>
      <c r="B78" t="s">
        <v>1254</v>
      </c>
      <c r="C78" s="48" t="s">
        <v>1895</v>
      </c>
      <c r="D78" s="48" t="s">
        <v>1896</v>
      </c>
      <c r="E78" s="48" t="s">
        <v>1897</v>
      </c>
      <c r="F78" s="48" t="s">
        <v>1898</v>
      </c>
      <c r="G78" s="48" t="s">
        <v>1899</v>
      </c>
    </row>
    <row r="79" spans="1:7" x14ac:dyDescent="0.25">
      <c r="A79" t="s">
        <v>522</v>
      </c>
      <c r="B79" t="s">
        <v>1248</v>
      </c>
      <c r="C79" t="s">
        <v>1457</v>
      </c>
      <c r="D79" t="s">
        <v>1458</v>
      </c>
      <c r="E79" t="s">
        <v>1459</v>
      </c>
      <c r="F79" t="s">
        <v>1460</v>
      </c>
      <c r="G79" t="s">
        <v>1461</v>
      </c>
    </row>
    <row r="80" spans="1:7" hidden="1" x14ac:dyDescent="0.25">
      <c r="A80" t="s">
        <v>522</v>
      </c>
      <c r="B80" t="s">
        <v>1254</v>
      </c>
      <c r="C80" t="s">
        <v>1517</v>
      </c>
      <c r="D80" t="s">
        <v>1518</v>
      </c>
      <c r="E80" t="s">
        <v>1519</v>
      </c>
      <c r="G80" t="s">
        <v>1461</v>
      </c>
    </row>
    <row r="81" spans="1:7" x14ac:dyDescent="0.25">
      <c r="A81" t="s">
        <v>522</v>
      </c>
      <c r="B81" t="s">
        <v>1221</v>
      </c>
      <c r="C81" t="s">
        <v>1689</v>
      </c>
      <c r="D81" t="s">
        <v>1690</v>
      </c>
      <c r="E81" t="s">
        <v>136</v>
      </c>
      <c r="F81" t="s">
        <v>1691</v>
      </c>
      <c r="G81" t="s">
        <v>1461</v>
      </c>
    </row>
    <row r="82" spans="1:7" x14ac:dyDescent="0.25">
      <c r="A82" t="s">
        <v>522</v>
      </c>
      <c r="B82" t="s">
        <v>1221</v>
      </c>
      <c r="C82" t="s">
        <v>1563</v>
      </c>
      <c r="D82" t="s">
        <v>1705</v>
      </c>
      <c r="E82" t="s">
        <v>1706</v>
      </c>
      <c r="F82" t="s">
        <v>1707</v>
      </c>
      <c r="G82" t="s">
        <v>1708</v>
      </c>
    </row>
    <row r="83" spans="1:7" hidden="1" x14ac:dyDescent="0.25">
      <c r="A83" t="s">
        <v>522</v>
      </c>
      <c r="B83" t="s">
        <v>1498</v>
      </c>
      <c r="C83" t="s">
        <v>1879</v>
      </c>
      <c r="D83" t="s">
        <v>1880</v>
      </c>
      <c r="E83" t="s">
        <v>1560</v>
      </c>
      <c r="G83" t="s">
        <v>1881</v>
      </c>
    </row>
    <row r="84" spans="1:7" x14ac:dyDescent="0.25">
      <c r="A84" t="s">
        <v>522</v>
      </c>
      <c r="B84" t="s">
        <v>1176</v>
      </c>
      <c r="C84" t="s">
        <v>1955</v>
      </c>
      <c r="D84" t="s">
        <v>1661</v>
      </c>
      <c r="E84" t="s">
        <v>1947</v>
      </c>
      <c r="F84" t="s">
        <v>1956</v>
      </c>
      <c r="G84" t="s">
        <v>1708</v>
      </c>
    </row>
    <row r="85" spans="1:7" x14ac:dyDescent="0.25">
      <c r="A85" s="48" t="s">
        <v>602</v>
      </c>
      <c r="B85" t="s">
        <v>1167</v>
      </c>
      <c r="C85" s="48" t="s">
        <v>1198</v>
      </c>
      <c r="D85" s="48" t="s">
        <v>1199</v>
      </c>
      <c r="E85" s="48" t="s">
        <v>87</v>
      </c>
      <c r="F85" s="48" t="s">
        <v>1200</v>
      </c>
      <c r="G85" s="48" t="s">
        <v>1201</v>
      </c>
    </row>
    <row r="86" spans="1:7" x14ac:dyDescent="0.25">
      <c r="A86" s="48" t="s">
        <v>602</v>
      </c>
      <c r="B86" t="s">
        <v>1254</v>
      </c>
      <c r="C86" s="48" t="s">
        <v>1345</v>
      </c>
      <c r="D86" s="48" t="s">
        <v>1346</v>
      </c>
      <c r="E86" s="48" t="s">
        <v>133</v>
      </c>
      <c r="F86" s="48" t="s">
        <v>1347</v>
      </c>
      <c r="G86" s="48" t="s">
        <v>1348</v>
      </c>
    </row>
    <row r="87" spans="1:7" x14ac:dyDescent="0.25">
      <c r="A87" s="48" t="s">
        <v>602</v>
      </c>
      <c r="B87" t="s">
        <v>1254</v>
      </c>
      <c r="C87" s="48" t="s">
        <v>1446</v>
      </c>
      <c r="D87" s="48" t="s">
        <v>1447</v>
      </c>
      <c r="E87" s="48" t="s">
        <v>133</v>
      </c>
      <c r="F87" s="48" t="s">
        <v>1448</v>
      </c>
      <c r="G87" s="48" t="s">
        <v>1348</v>
      </c>
    </row>
    <row r="88" spans="1:7" x14ac:dyDescent="0.25">
      <c r="A88" s="48" t="s">
        <v>602</v>
      </c>
      <c r="B88" t="s">
        <v>1258</v>
      </c>
      <c r="C88" s="48" t="s">
        <v>1449</v>
      </c>
      <c r="D88" s="48" t="s">
        <v>1450</v>
      </c>
      <c r="E88" s="48" t="s">
        <v>1451</v>
      </c>
      <c r="F88" s="48" t="s">
        <v>1452</v>
      </c>
      <c r="G88" s="48" t="s">
        <v>1453</v>
      </c>
    </row>
    <row r="89" spans="1:7" x14ac:dyDescent="0.25">
      <c r="A89" s="48" t="s">
        <v>602</v>
      </c>
      <c r="B89" t="s">
        <v>1167</v>
      </c>
      <c r="C89" s="48" t="s">
        <v>1478</v>
      </c>
      <c r="D89" s="48" t="s">
        <v>1479</v>
      </c>
      <c r="E89" s="48" t="s">
        <v>87</v>
      </c>
      <c r="F89" s="48" t="s">
        <v>1480</v>
      </c>
      <c r="G89" s="48" t="s">
        <v>1481</v>
      </c>
    </row>
    <row r="90" spans="1:7" x14ac:dyDescent="0.25">
      <c r="A90" s="48" t="s">
        <v>602</v>
      </c>
      <c r="B90" t="s">
        <v>1254</v>
      </c>
      <c r="C90" s="48" t="s">
        <v>1504</v>
      </c>
      <c r="D90" s="48" t="s">
        <v>1505</v>
      </c>
      <c r="E90" s="48" t="s">
        <v>133</v>
      </c>
      <c r="F90" s="48" t="s">
        <v>1506</v>
      </c>
      <c r="G90" s="48" t="s">
        <v>1507</v>
      </c>
    </row>
    <row r="91" spans="1:7" x14ac:dyDescent="0.25">
      <c r="A91" s="48" t="s">
        <v>602</v>
      </c>
      <c r="B91" t="s">
        <v>1248</v>
      </c>
      <c r="C91" s="48" t="s">
        <v>1413</v>
      </c>
      <c r="D91" s="48" t="s">
        <v>1508</v>
      </c>
      <c r="E91" s="48" t="s">
        <v>1509</v>
      </c>
      <c r="F91" s="48" t="s">
        <v>1510</v>
      </c>
      <c r="G91" s="48" t="s">
        <v>1511</v>
      </c>
    </row>
    <row r="92" spans="1:7" x14ac:dyDescent="0.25">
      <c r="A92" s="48" t="s">
        <v>602</v>
      </c>
      <c r="B92" t="s">
        <v>1221</v>
      </c>
      <c r="C92" s="48" t="s">
        <v>1713</v>
      </c>
      <c r="D92" s="48" t="s">
        <v>1714</v>
      </c>
      <c r="E92" s="48" t="s">
        <v>1715</v>
      </c>
      <c r="F92" s="48" t="s">
        <v>1716</v>
      </c>
      <c r="G92" s="48" t="s">
        <v>1481</v>
      </c>
    </row>
    <row r="93" spans="1:7" x14ac:dyDescent="0.25">
      <c r="A93" s="48" t="s">
        <v>602</v>
      </c>
      <c r="B93" t="s">
        <v>1254</v>
      </c>
      <c r="C93" s="48" t="s">
        <v>1717</v>
      </c>
      <c r="D93" s="48" t="s">
        <v>1718</v>
      </c>
      <c r="E93" s="48" t="s">
        <v>1719</v>
      </c>
      <c r="F93" s="48" t="s">
        <v>1720</v>
      </c>
      <c r="G93" s="48" t="s">
        <v>1348</v>
      </c>
    </row>
    <row r="94" spans="1:7" hidden="1" x14ac:dyDescent="0.25">
      <c r="A94" t="s">
        <v>602</v>
      </c>
      <c r="B94" t="s">
        <v>1654</v>
      </c>
      <c r="C94" t="s">
        <v>1259</v>
      </c>
      <c r="D94" t="s">
        <v>1721</v>
      </c>
      <c r="E94" t="s">
        <v>1722</v>
      </c>
      <c r="F94" t="s">
        <v>1723</v>
      </c>
      <c r="G94" t="s">
        <v>1724</v>
      </c>
    </row>
    <row r="95" spans="1:7" x14ac:dyDescent="0.25">
      <c r="A95" s="48" t="s">
        <v>602</v>
      </c>
      <c r="B95" t="s">
        <v>1231</v>
      </c>
      <c r="C95" s="48" t="s">
        <v>1725</v>
      </c>
      <c r="D95" s="48" t="s">
        <v>1726</v>
      </c>
      <c r="E95" s="48" t="s">
        <v>1607</v>
      </c>
      <c r="F95" s="48" t="s">
        <v>1727</v>
      </c>
      <c r="G95" s="48" t="s">
        <v>1728</v>
      </c>
    </row>
    <row r="96" spans="1:7" x14ac:dyDescent="0.25">
      <c r="A96" s="48" t="s">
        <v>602</v>
      </c>
      <c r="B96" t="s">
        <v>1248</v>
      </c>
      <c r="C96" s="48" t="s">
        <v>1732</v>
      </c>
      <c r="D96" s="48" t="s">
        <v>1733</v>
      </c>
      <c r="E96" s="48" t="s">
        <v>1734</v>
      </c>
      <c r="F96" s="48" t="s">
        <v>1735</v>
      </c>
      <c r="G96" s="48" t="s">
        <v>1736</v>
      </c>
    </row>
    <row r="97" spans="1:7" x14ac:dyDescent="0.25">
      <c r="A97" s="48" t="s">
        <v>602</v>
      </c>
      <c r="B97" t="s">
        <v>1254</v>
      </c>
      <c r="C97" s="48" t="s">
        <v>1867</v>
      </c>
      <c r="D97" s="48" t="s">
        <v>1718</v>
      </c>
      <c r="E97" s="48" t="s">
        <v>1719</v>
      </c>
      <c r="F97" s="48" t="s">
        <v>1868</v>
      </c>
      <c r="G97" s="48" t="s">
        <v>1348</v>
      </c>
    </row>
    <row r="98" spans="1:7" x14ac:dyDescent="0.25">
      <c r="A98" s="48" t="s">
        <v>602</v>
      </c>
      <c r="B98" t="s">
        <v>1231</v>
      </c>
      <c r="C98" s="48" t="s">
        <v>1483</v>
      </c>
      <c r="D98" s="48" t="s">
        <v>1911</v>
      </c>
      <c r="E98" s="48" t="s">
        <v>1912</v>
      </c>
      <c r="F98" s="48" t="s">
        <v>1913</v>
      </c>
      <c r="G98" s="48" t="s">
        <v>1728</v>
      </c>
    </row>
    <row r="99" spans="1:7" x14ac:dyDescent="0.25">
      <c r="A99" t="s">
        <v>1301</v>
      </c>
      <c r="B99" t="s">
        <v>1254</v>
      </c>
      <c r="C99" t="s">
        <v>1302</v>
      </c>
      <c r="D99" t="s">
        <v>1303</v>
      </c>
      <c r="E99" t="s">
        <v>1304</v>
      </c>
      <c r="F99" t="s">
        <v>1305</v>
      </c>
      <c r="G99" t="s">
        <v>1306</v>
      </c>
    </row>
    <row r="100" spans="1:7" x14ac:dyDescent="0.25">
      <c r="A100" t="s">
        <v>1301</v>
      </c>
      <c r="B100" t="s">
        <v>1167</v>
      </c>
      <c r="C100" t="s">
        <v>1475</v>
      </c>
      <c r="D100" t="s">
        <v>1476</v>
      </c>
      <c r="E100" t="s">
        <v>1173</v>
      </c>
      <c r="F100" t="s">
        <v>1477</v>
      </c>
      <c r="G100" t="s">
        <v>1197</v>
      </c>
    </row>
    <row r="101" spans="1:7" x14ac:dyDescent="0.25">
      <c r="A101" t="s">
        <v>1301</v>
      </c>
      <c r="B101" t="s">
        <v>1221</v>
      </c>
      <c r="C101" t="s">
        <v>1701</v>
      </c>
      <c r="D101" t="s">
        <v>1702</v>
      </c>
      <c r="E101" t="s">
        <v>136</v>
      </c>
      <c r="F101" t="s">
        <v>1703</v>
      </c>
      <c r="G101" t="s">
        <v>1704</v>
      </c>
    </row>
    <row r="102" spans="1:7" x14ac:dyDescent="0.25">
      <c r="A102" t="s">
        <v>1301</v>
      </c>
      <c r="B102" t="s">
        <v>1215</v>
      </c>
      <c r="C102" t="s">
        <v>1483</v>
      </c>
      <c r="D102" t="s">
        <v>1709</v>
      </c>
      <c r="E102" t="s">
        <v>1710</v>
      </c>
      <c r="F102" t="s">
        <v>1711</v>
      </c>
      <c r="G102" t="s">
        <v>1712</v>
      </c>
    </row>
    <row r="103" spans="1:7" x14ac:dyDescent="0.25">
      <c r="A103" t="s">
        <v>1301</v>
      </c>
      <c r="B103" t="s">
        <v>1215</v>
      </c>
      <c r="C103" t="s">
        <v>1862</v>
      </c>
      <c r="D103" t="s">
        <v>1863</v>
      </c>
      <c r="E103" t="s">
        <v>1864</v>
      </c>
      <c r="F103" t="s">
        <v>1865</v>
      </c>
      <c r="G103" t="s">
        <v>1866</v>
      </c>
    </row>
    <row r="104" spans="1:7" x14ac:dyDescent="0.25">
      <c r="A104" s="48" t="s">
        <v>473</v>
      </c>
      <c r="B104" t="s">
        <v>1167</v>
      </c>
      <c r="C104" s="48" t="s">
        <v>1184</v>
      </c>
      <c r="D104" s="48" t="s">
        <v>1185</v>
      </c>
      <c r="E104" s="48" t="s">
        <v>87</v>
      </c>
      <c r="F104" s="48" t="s">
        <v>1186</v>
      </c>
      <c r="G104" s="48" t="s">
        <v>1187</v>
      </c>
    </row>
    <row r="105" spans="1:7" x14ac:dyDescent="0.25">
      <c r="A105" s="48" t="s">
        <v>473</v>
      </c>
      <c r="B105" t="s">
        <v>1254</v>
      </c>
      <c r="C105" s="48" t="s">
        <v>1337</v>
      </c>
      <c r="D105" s="48" t="s">
        <v>1338</v>
      </c>
      <c r="E105" s="48" t="s">
        <v>1339</v>
      </c>
      <c r="F105" s="48" t="s">
        <v>1340</v>
      </c>
      <c r="G105" s="48" t="s">
        <v>1341</v>
      </c>
    </row>
    <row r="106" spans="1:7" x14ac:dyDescent="0.25">
      <c r="A106" s="48" t="s">
        <v>473</v>
      </c>
      <c r="B106" t="s">
        <v>1254</v>
      </c>
      <c r="C106" s="48" t="s">
        <v>1433</v>
      </c>
      <c r="D106" s="48" t="s">
        <v>1434</v>
      </c>
      <c r="E106" s="48" t="s">
        <v>1435</v>
      </c>
      <c r="F106" s="48" t="s">
        <v>1436</v>
      </c>
      <c r="G106" s="48" t="s">
        <v>1187</v>
      </c>
    </row>
    <row r="107" spans="1:7" x14ac:dyDescent="0.25">
      <c r="A107" s="48" t="s">
        <v>473</v>
      </c>
      <c r="B107" t="s">
        <v>1221</v>
      </c>
      <c r="C107" s="48" t="s">
        <v>1843</v>
      </c>
      <c r="D107" s="48" t="s">
        <v>1844</v>
      </c>
      <c r="E107" s="48" t="s">
        <v>136</v>
      </c>
      <c r="F107" s="48" t="s">
        <v>1845</v>
      </c>
      <c r="G107" s="48" t="s">
        <v>1846</v>
      </c>
    </row>
    <row r="108" spans="1:7" x14ac:dyDescent="0.25">
      <c r="A108" s="48" t="s">
        <v>473</v>
      </c>
      <c r="B108" t="s">
        <v>1254</v>
      </c>
      <c r="C108" s="48" t="s">
        <v>1854</v>
      </c>
      <c r="D108" s="48" t="s">
        <v>1855</v>
      </c>
      <c r="E108" s="48" t="s">
        <v>1856</v>
      </c>
      <c r="F108" s="48" t="s">
        <v>1857</v>
      </c>
      <c r="G108" s="48" t="s">
        <v>1341</v>
      </c>
    </row>
    <row r="109" spans="1:7" x14ac:dyDescent="0.25">
      <c r="A109" s="48" t="s">
        <v>473</v>
      </c>
      <c r="B109" t="s">
        <v>1254</v>
      </c>
      <c r="C109" s="48" t="s">
        <v>1888</v>
      </c>
      <c r="D109" s="48" t="s">
        <v>1889</v>
      </c>
      <c r="E109" s="48" t="s">
        <v>1890</v>
      </c>
      <c r="F109" s="48" t="s">
        <v>1340</v>
      </c>
      <c r="G109" s="48" t="s">
        <v>1341</v>
      </c>
    </row>
    <row r="110" spans="1:7" x14ac:dyDescent="0.25">
      <c r="A110" t="s">
        <v>550</v>
      </c>
      <c r="B110" t="s">
        <v>1167</v>
      </c>
      <c r="C110" t="s">
        <v>1171</v>
      </c>
      <c r="D110" t="s">
        <v>1172</v>
      </c>
      <c r="E110" t="s">
        <v>1173</v>
      </c>
      <c r="F110" t="s">
        <v>1174</v>
      </c>
      <c r="G110" t="s">
        <v>1175</v>
      </c>
    </row>
    <row r="111" spans="1:7" hidden="1" x14ac:dyDescent="0.25">
      <c r="A111" t="s">
        <v>550</v>
      </c>
      <c r="B111" t="s">
        <v>1167</v>
      </c>
      <c r="C111" t="s">
        <v>1171</v>
      </c>
      <c r="D111" t="s">
        <v>1482</v>
      </c>
      <c r="E111" t="s">
        <v>87</v>
      </c>
      <c r="G111" t="s">
        <v>1175</v>
      </c>
    </row>
    <row r="112" spans="1:7" x14ac:dyDescent="0.25">
      <c r="A112" t="s">
        <v>550</v>
      </c>
      <c r="B112" t="s">
        <v>1248</v>
      </c>
      <c r="C112" t="s">
        <v>1512</v>
      </c>
      <c r="D112" t="s">
        <v>1513</v>
      </c>
      <c r="E112" t="s">
        <v>1514</v>
      </c>
      <c r="F112" t="s">
        <v>1515</v>
      </c>
      <c r="G112" t="s">
        <v>1516</v>
      </c>
    </row>
    <row r="113" spans="1:7" x14ac:dyDescent="0.25">
      <c r="A113" t="s">
        <v>550</v>
      </c>
      <c r="B113" t="s">
        <v>1231</v>
      </c>
      <c r="C113" t="s">
        <v>1627</v>
      </c>
      <c r="D113" t="s">
        <v>1628</v>
      </c>
      <c r="E113" t="s">
        <v>1629</v>
      </c>
      <c r="F113" t="s">
        <v>1630</v>
      </c>
      <c r="G113" t="s">
        <v>1631</v>
      </c>
    </row>
    <row r="114" spans="1:7" x14ac:dyDescent="0.25">
      <c r="A114" t="s">
        <v>550</v>
      </c>
      <c r="B114" t="s">
        <v>1221</v>
      </c>
      <c r="C114" t="s">
        <v>1632</v>
      </c>
      <c r="D114" t="s">
        <v>1633</v>
      </c>
      <c r="E114" t="s">
        <v>128</v>
      </c>
      <c r="F114" t="s">
        <v>1634</v>
      </c>
      <c r="G114" t="s">
        <v>1635</v>
      </c>
    </row>
    <row r="115" spans="1:7" x14ac:dyDescent="0.25">
      <c r="A115" t="s">
        <v>550</v>
      </c>
      <c r="B115" t="s">
        <v>1215</v>
      </c>
      <c r="C115" t="s">
        <v>1649</v>
      </c>
      <c r="D115" t="s">
        <v>1650</v>
      </c>
      <c r="E115" t="s">
        <v>1651</v>
      </c>
      <c r="F115" t="s">
        <v>1652</v>
      </c>
      <c r="G115" t="s">
        <v>1653</v>
      </c>
    </row>
    <row r="116" spans="1:7" x14ac:dyDescent="0.25">
      <c r="A116" t="s">
        <v>550</v>
      </c>
      <c r="B116" t="s">
        <v>1258</v>
      </c>
      <c r="C116" t="s">
        <v>1663</v>
      </c>
      <c r="D116" t="s">
        <v>1664</v>
      </c>
      <c r="E116" t="s">
        <v>1665</v>
      </c>
      <c r="F116" t="s">
        <v>1666</v>
      </c>
      <c r="G116" t="s">
        <v>1667</v>
      </c>
    </row>
    <row r="117" spans="1:7" x14ac:dyDescent="0.25">
      <c r="A117" t="s">
        <v>550</v>
      </c>
      <c r="B117" t="s">
        <v>1221</v>
      </c>
      <c r="C117" t="s">
        <v>1668</v>
      </c>
      <c r="D117" t="s">
        <v>1669</v>
      </c>
      <c r="E117" t="s">
        <v>136</v>
      </c>
      <c r="F117" t="s">
        <v>1670</v>
      </c>
      <c r="G117" t="s">
        <v>1671</v>
      </c>
    </row>
    <row r="118" spans="1:7" x14ac:dyDescent="0.25">
      <c r="A118" t="s">
        <v>550</v>
      </c>
      <c r="B118" t="s">
        <v>1231</v>
      </c>
      <c r="C118" t="s">
        <v>1232</v>
      </c>
      <c r="D118" t="s">
        <v>1822</v>
      </c>
      <c r="E118" t="s">
        <v>1823</v>
      </c>
      <c r="F118" t="s">
        <v>1824</v>
      </c>
      <c r="G118" t="s">
        <v>1825</v>
      </c>
    </row>
    <row r="119" spans="1:7" x14ac:dyDescent="0.25">
      <c r="A119" t="s">
        <v>550</v>
      </c>
      <c r="B119" t="s">
        <v>1231</v>
      </c>
      <c r="C119" t="s">
        <v>1900</v>
      </c>
      <c r="D119" t="s">
        <v>1901</v>
      </c>
      <c r="E119" t="s">
        <v>1815</v>
      </c>
      <c r="F119" t="s">
        <v>1902</v>
      </c>
      <c r="G119" t="s">
        <v>1631</v>
      </c>
    </row>
    <row r="120" spans="1:7" x14ac:dyDescent="0.25">
      <c r="A120" t="s">
        <v>550</v>
      </c>
      <c r="B120" t="s">
        <v>1254</v>
      </c>
      <c r="C120" t="s">
        <v>1903</v>
      </c>
      <c r="D120" t="s">
        <v>1904</v>
      </c>
      <c r="E120" t="s">
        <v>1905</v>
      </c>
      <c r="F120" t="s">
        <v>1906</v>
      </c>
      <c r="G120" t="s">
        <v>1907</v>
      </c>
    </row>
    <row r="121" spans="1:7" x14ac:dyDescent="0.25">
      <c r="A121" t="s">
        <v>550</v>
      </c>
      <c r="B121" t="s">
        <v>1498</v>
      </c>
      <c r="C121" t="s">
        <v>1940</v>
      </c>
      <c r="D121" t="s">
        <v>1941</v>
      </c>
      <c r="E121" t="s">
        <v>1828</v>
      </c>
      <c r="F121" t="s">
        <v>1942</v>
      </c>
      <c r="G121" t="s">
        <v>1943</v>
      </c>
    </row>
    <row r="122" spans="1:7" x14ac:dyDescent="0.25">
      <c r="A122" s="48" t="s">
        <v>565</v>
      </c>
      <c r="B122" t="s">
        <v>1167</v>
      </c>
      <c r="C122" s="48" t="s">
        <v>1207</v>
      </c>
      <c r="D122" s="48" t="s">
        <v>1208</v>
      </c>
      <c r="E122" s="48" t="s">
        <v>1209</v>
      </c>
      <c r="F122" s="48" t="s">
        <v>1210</v>
      </c>
      <c r="G122" s="48" t="s">
        <v>1197</v>
      </c>
    </row>
    <row r="123" spans="1:7" x14ac:dyDescent="0.25">
      <c r="A123" s="48" t="s">
        <v>565</v>
      </c>
      <c r="B123" t="s">
        <v>1254</v>
      </c>
      <c r="C123" s="48" t="s">
        <v>1255</v>
      </c>
      <c r="D123" s="48" t="s">
        <v>1181</v>
      </c>
      <c r="E123" s="48" t="s">
        <v>1256</v>
      </c>
      <c r="F123" s="48" t="s">
        <v>1257</v>
      </c>
      <c r="G123" s="48" t="s">
        <v>1197</v>
      </c>
    </row>
    <row r="124" spans="1:7" x14ac:dyDescent="0.25">
      <c r="A124" s="48" t="s">
        <v>565</v>
      </c>
      <c r="B124" t="s">
        <v>1221</v>
      </c>
      <c r="C124" s="48" t="s">
        <v>1677</v>
      </c>
      <c r="D124" s="48" t="s">
        <v>1678</v>
      </c>
      <c r="E124" s="48" t="s">
        <v>136</v>
      </c>
      <c r="F124" s="48" t="s">
        <v>1679</v>
      </c>
      <c r="G124" s="48" t="s">
        <v>1680</v>
      </c>
    </row>
    <row r="125" spans="1:7" x14ac:dyDescent="0.25">
      <c r="A125" s="48" t="s">
        <v>565</v>
      </c>
      <c r="B125" t="s">
        <v>1254</v>
      </c>
      <c r="C125" s="48" t="s">
        <v>1854</v>
      </c>
      <c r="D125" s="48" t="s">
        <v>1869</v>
      </c>
      <c r="E125" s="48" t="s">
        <v>1870</v>
      </c>
      <c r="F125" s="48" t="s">
        <v>1871</v>
      </c>
      <c r="G125" s="48" t="s">
        <v>1872</v>
      </c>
    </row>
    <row r="126" spans="1:7" hidden="1" x14ac:dyDescent="0.25">
      <c r="A126" t="s">
        <v>477</v>
      </c>
      <c r="B126" t="s">
        <v>1176</v>
      </c>
      <c r="C126" t="s">
        <v>1177</v>
      </c>
      <c r="D126" t="s">
        <v>1178</v>
      </c>
      <c r="E126" t="s">
        <v>128</v>
      </c>
      <c r="G126" t="s">
        <v>1179</v>
      </c>
    </row>
    <row r="127" spans="1:7" x14ac:dyDescent="0.25">
      <c r="A127" t="s">
        <v>477</v>
      </c>
      <c r="B127" t="s">
        <v>1167</v>
      </c>
      <c r="C127" t="s">
        <v>1180</v>
      </c>
      <c r="D127" t="s">
        <v>1181</v>
      </c>
      <c r="E127" t="s">
        <v>1182</v>
      </c>
      <c r="F127" t="s">
        <v>1183</v>
      </c>
      <c r="G127" t="s">
        <v>1179</v>
      </c>
    </row>
    <row r="128" spans="1:7" x14ac:dyDescent="0.25">
      <c r="A128" t="s">
        <v>477</v>
      </c>
      <c r="B128" t="s">
        <v>1215</v>
      </c>
      <c r="C128" t="s">
        <v>1259</v>
      </c>
      <c r="D128" t="s">
        <v>1402</v>
      </c>
      <c r="E128" t="s">
        <v>1403</v>
      </c>
      <c r="F128" t="s">
        <v>1404</v>
      </c>
      <c r="G128" t="s">
        <v>1405</v>
      </c>
    </row>
    <row r="129" spans="1:7" x14ac:dyDescent="0.25">
      <c r="A129" t="s">
        <v>477</v>
      </c>
      <c r="B129" t="s">
        <v>1167</v>
      </c>
      <c r="C129" t="s">
        <v>1180</v>
      </c>
      <c r="D129" t="s">
        <v>1473</v>
      </c>
      <c r="E129" t="s">
        <v>1173</v>
      </c>
      <c r="F129" t="s">
        <v>1474</v>
      </c>
      <c r="G129" t="s">
        <v>1179</v>
      </c>
    </row>
    <row r="130" spans="1:7" hidden="1" x14ac:dyDescent="0.25">
      <c r="A130" t="s">
        <v>977</v>
      </c>
      <c r="B130" t="s">
        <v>1167</v>
      </c>
      <c r="C130" t="s">
        <v>1211</v>
      </c>
      <c r="D130" t="s">
        <v>1212</v>
      </c>
      <c r="E130" t="s">
        <v>1173</v>
      </c>
      <c r="G130" t="s">
        <v>1213</v>
      </c>
    </row>
    <row r="131" spans="1:7" hidden="1" x14ac:dyDescent="0.25">
      <c r="A131" t="s">
        <v>977</v>
      </c>
      <c r="B131" t="s">
        <v>1258</v>
      </c>
      <c r="C131" t="s">
        <v>1259</v>
      </c>
      <c r="D131" t="s">
        <v>1260</v>
      </c>
      <c r="E131" t="s">
        <v>1261</v>
      </c>
      <c r="G131" t="s">
        <v>1262</v>
      </c>
    </row>
    <row r="132" spans="1:7" x14ac:dyDescent="0.25">
      <c r="A132" s="48" t="s">
        <v>977</v>
      </c>
      <c r="B132" t="s">
        <v>1254</v>
      </c>
      <c r="C132" s="48" t="s">
        <v>1286</v>
      </c>
      <c r="D132" s="48" t="s">
        <v>1287</v>
      </c>
      <c r="E132" s="48" t="s">
        <v>1288</v>
      </c>
      <c r="F132" s="48" t="s">
        <v>1289</v>
      </c>
      <c r="G132" s="48" t="s">
        <v>1290</v>
      </c>
    </row>
    <row r="133" spans="1:7" x14ac:dyDescent="0.25">
      <c r="A133" s="48" t="s">
        <v>977</v>
      </c>
      <c r="B133" t="s">
        <v>1248</v>
      </c>
      <c r="C133" s="48" t="s">
        <v>1291</v>
      </c>
      <c r="D133" s="48" t="s">
        <v>1292</v>
      </c>
      <c r="E133" s="48" t="s">
        <v>1293</v>
      </c>
      <c r="F133" s="48" t="s">
        <v>1294</v>
      </c>
      <c r="G133" s="48" t="s">
        <v>1295</v>
      </c>
    </row>
    <row r="134" spans="1:7" x14ac:dyDescent="0.25">
      <c r="A134" s="48" t="s">
        <v>977</v>
      </c>
      <c r="B134" t="s">
        <v>1254</v>
      </c>
      <c r="C134" s="48" t="s">
        <v>1409</v>
      </c>
      <c r="D134" s="48" t="s">
        <v>1410</v>
      </c>
      <c r="E134" s="48" t="s">
        <v>1288</v>
      </c>
      <c r="F134" s="48" t="s">
        <v>1411</v>
      </c>
      <c r="G134" s="48" t="s">
        <v>1412</v>
      </c>
    </row>
    <row r="135" spans="1:7" hidden="1" x14ac:dyDescent="0.25">
      <c r="A135" t="s">
        <v>977</v>
      </c>
      <c r="B135" t="s">
        <v>1254</v>
      </c>
      <c r="C135" t="s">
        <v>1413</v>
      </c>
      <c r="D135" t="s">
        <v>1414</v>
      </c>
      <c r="E135" t="s">
        <v>1288</v>
      </c>
      <c r="G135" t="s">
        <v>1415</v>
      </c>
    </row>
    <row r="136" spans="1:7" x14ac:dyDescent="0.25">
      <c r="A136" s="48" t="s">
        <v>977</v>
      </c>
      <c r="B136" t="s">
        <v>1258</v>
      </c>
      <c r="C136" s="48" t="s">
        <v>1442</v>
      </c>
      <c r="D136" s="48" t="s">
        <v>1443</v>
      </c>
      <c r="E136" s="48" t="s">
        <v>1261</v>
      </c>
      <c r="F136" s="48" t="s">
        <v>1444</v>
      </c>
      <c r="G136" s="48" t="s">
        <v>1445</v>
      </c>
    </row>
    <row r="137" spans="1:7" x14ac:dyDescent="0.25">
      <c r="A137" s="48" t="s">
        <v>977</v>
      </c>
      <c r="B137" t="s">
        <v>1167</v>
      </c>
      <c r="C137" s="48" t="s">
        <v>1534</v>
      </c>
      <c r="D137" s="48" t="s">
        <v>1212</v>
      </c>
      <c r="E137" s="48" t="s">
        <v>87</v>
      </c>
      <c r="F137" s="48" t="s">
        <v>1535</v>
      </c>
      <c r="G137" s="48" t="s">
        <v>1536</v>
      </c>
    </row>
    <row r="138" spans="1:7" x14ac:dyDescent="0.25">
      <c r="A138" s="48" t="s">
        <v>977</v>
      </c>
      <c r="B138" t="s">
        <v>1254</v>
      </c>
      <c r="C138" s="48" t="s">
        <v>1618</v>
      </c>
      <c r="D138" s="48" t="s">
        <v>1619</v>
      </c>
      <c r="E138" s="48" t="s">
        <v>1620</v>
      </c>
      <c r="F138" s="48" t="s">
        <v>1621</v>
      </c>
      <c r="G138" s="48" t="s">
        <v>1622</v>
      </c>
    </row>
    <row r="139" spans="1:7" hidden="1" x14ac:dyDescent="0.25">
      <c r="A139" t="s">
        <v>977</v>
      </c>
      <c r="B139" t="s">
        <v>1221</v>
      </c>
      <c r="C139" t="s">
        <v>1623</v>
      </c>
      <c r="D139" t="s">
        <v>1624</v>
      </c>
      <c r="E139" t="s">
        <v>1625</v>
      </c>
      <c r="G139" t="s">
        <v>1626</v>
      </c>
    </row>
    <row r="140" spans="1:7" x14ac:dyDescent="0.25">
      <c r="A140" s="48" t="s">
        <v>977</v>
      </c>
      <c r="B140" t="s">
        <v>1498</v>
      </c>
      <c r="C140" s="48" t="s">
        <v>1636</v>
      </c>
      <c r="D140" s="48" t="s">
        <v>1637</v>
      </c>
      <c r="E140" s="48" t="s">
        <v>1638</v>
      </c>
      <c r="F140" s="48" t="s">
        <v>1639</v>
      </c>
      <c r="G140" s="48" t="s">
        <v>1640</v>
      </c>
    </row>
    <row r="141" spans="1:7" x14ac:dyDescent="0.25">
      <c r="A141" s="48" t="s">
        <v>977</v>
      </c>
      <c r="B141" t="s">
        <v>1254</v>
      </c>
      <c r="C141" s="48" t="s">
        <v>1330</v>
      </c>
      <c r="D141" s="48" t="s">
        <v>1929</v>
      </c>
      <c r="E141" s="48" t="s">
        <v>1930</v>
      </c>
      <c r="F141" s="48" t="s">
        <v>1931</v>
      </c>
      <c r="G141" s="48" t="s">
        <v>1932</v>
      </c>
    </row>
    <row r="142" spans="1:7" x14ac:dyDescent="0.25">
      <c r="A142" t="s">
        <v>983</v>
      </c>
      <c r="B142" t="s">
        <v>1167</v>
      </c>
      <c r="C142" t="s">
        <v>1188</v>
      </c>
      <c r="D142" t="s">
        <v>1189</v>
      </c>
      <c r="E142" t="s">
        <v>87</v>
      </c>
      <c r="F142" t="s">
        <v>1190</v>
      </c>
      <c r="G142" t="s">
        <v>1191</v>
      </c>
    </row>
    <row r="143" spans="1:7" hidden="1" x14ac:dyDescent="0.25">
      <c r="A143" t="s">
        <v>983</v>
      </c>
      <c r="B143" t="s">
        <v>1231</v>
      </c>
      <c r="C143" t="s">
        <v>1831</v>
      </c>
      <c r="D143" t="s">
        <v>1832</v>
      </c>
      <c r="E143" t="s">
        <v>1801</v>
      </c>
      <c r="G143" t="s">
        <v>1833</v>
      </c>
    </row>
    <row r="144" spans="1:7" hidden="1" x14ac:dyDescent="0.25">
      <c r="A144" t="s">
        <v>983</v>
      </c>
      <c r="B144" t="s">
        <v>1221</v>
      </c>
      <c r="C144" t="s">
        <v>1384</v>
      </c>
      <c r="D144" t="s">
        <v>1834</v>
      </c>
      <c r="E144" t="s">
        <v>136</v>
      </c>
      <c r="G144" t="s">
        <v>1835</v>
      </c>
    </row>
    <row r="145" spans="1:7" x14ac:dyDescent="0.25">
      <c r="A145" t="s">
        <v>983</v>
      </c>
      <c r="B145" t="s">
        <v>1215</v>
      </c>
      <c r="C145" t="s">
        <v>1517</v>
      </c>
      <c r="D145" t="s">
        <v>1839</v>
      </c>
      <c r="E145" t="s">
        <v>1840</v>
      </c>
      <c r="F145" t="s">
        <v>1841</v>
      </c>
      <c r="G145" t="s">
        <v>1842</v>
      </c>
    </row>
    <row r="146" spans="1:7" hidden="1" x14ac:dyDescent="0.25">
      <c r="A146" t="s">
        <v>983</v>
      </c>
      <c r="B146" t="s">
        <v>1221</v>
      </c>
      <c r="C146" t="s">
        <v>1398</v>
      </c>
      <c r="D146" t="s">
        <v>1847</v>
      </c>
      <c r="E146" t="s">
        <v>1848</v>
      </c>
      <c r="G146" t="s">
        <v>1849</v>
      </c>
    </row>
    <row r="147" spans="1:7" x14ac:dyDescent="0.25">
      <c r="A147" t="s">
        <v>983</v>
      </c>
      <c r="B147" t="s">
        <v>1221</v>
      </c>
      <c r="C147" t="s">
        <v>1276</v>
      </c>
      <c r="D147" t="s">
        <v>1933</v>
      </c>
      <c r="E147" t="s">
        <v>1934</v>
      </c>
      <c r="F147" t="s">
        <v>1935</v>
      </c>
      <c r="G147" t="s">
        <v>1936</v>
      </c>
    </row>
    <row r="148" spans="1:7" x14ac:dyDescent="0.25">
      <c r="A148" s="48" t="s">
        <v>877</v>
      </c>
      <c r="B148" t="s">
        <v>1167</v>
      </c>
      <c r="C148" s="48" t="s">
        <v>1363</v>
      </c>
      <c r="D148" s="48" t="s">
        <v>1364</v>
      </c>
      <c r="E148" s="48" t="s">
        <v>1173</v>
      </c>
      <c r="F148" s="48" t="s">
        <v>1365</v>
      </c>
      <c r="G148" s="48" t="s">
        <v>1197</v>
      </c>
    </row>
    <row r="149" spans="1:7" x14ac:dyDescent="0.25">
      <c r="A149" s="48" t="s">
        <v>877</v>
      </c>
      <c r="B149" t="s">
        <v>1258</v>
      </c>
      <c r="C149" s="48" t="s">
        <v>1356</v>
      </c>
      <c r="D149" s="48" t="s">
        <v>1394</v>
      </c>
      <c r="E149" s="48" t="s">
        <v>1395</v>
      </c>
      <c r="F149" s="48" t="s">
        <v>1396</v>
      </c>
      <c r="G149" s="48" t="s">
        <v>1397</v>
      </c>
    </row>
    <row r="150" spans="1:7" hidden="1" x14ac:dyDescent="0.25">
      <c r="A150" t="s">
        <v>877</v>
      </c>
      <c r="B150" t="s">
        <v>1254</v>
      </c>
      <c r="C150" t="s">
        <v>1527</v>
      </c>
      <c r="D150" t="s">
        <v>1528</v>
      </c>
      <c r="E150" t="s">
        <v>239</v>
      </c>
      <c r="G150" t="s">
        <v>1529</v>
      </c>
    </row>
    <row r="151" spans="1:7" hidden="1" x14ac:dyDescent="0.25">
      <c r="A151" t="s">
        <v>877</v>
      </c>
      <c r="B151" t="s">
        <v>1492</v>
      </c>
      <c r="C151" t="s">
        <v>1566</v>
      </c>
      <c r="D151" t="s">
        <v>1567</v>
      </c>
      <c r="E151" t="s">
        <v>1568</v>
      </c>
      <c r="G151" t="s">
        <v>1569</v>
      </c>
    </row>
    <row r="152" spans="1:7" x14ac:dyDescent="0.25">
      <c r="A152" s="48" t="s">
        <v>877</v>
      </c>
      <c r="B152" t="s">
        <v>1231</v>
      </c>
      <c r="C152" s="48" t="s">
        <v>1570</v>
      </c>
      <c r="D152" s="48" t="s">
        <v>1571</v>
      </c>
      <c r="E152" s="48" t="s">
        <v>1572</v>
      </c>
      <c r="F152" s="48" t="s">
        <v>1573</v>
      </c>
      <c r="G152" s="48" t="s">
        <v>1574</v>
      </c>
    </row>
    <row r="153" spans="1:7" x14ac:dyDescent="0.25">
      <c r="A153" t="s">
        <v>1214</v>
      </c>
      <c r="B153" t="s">
        <v>1215</v>
      </c>
      <c r="C153" t="s">
        <v>1216</v>
      </c>
      <c r="D153" t="s">
        <v>1217</v>
      </c>
      <c r="E153" t="s">
        <v>1218</v>
      </c>
      <c r="F153" t="s">
        <v>1219</v>
      </c>
      <c r="G153" t="s">
        <v>1220</v>
      </c>
    </row>
    <row r="154" spans="1:7" x14ac:dyDescent="0.25">
      <c r="A154" t="s">
        <v>1214</v>
      </c>
      <c r="B154" t="s">
        <v>1221</v>
      </c>
      <c r="C154" t="s">
        <v>1222</v>
      </c>
      <c r="D154" t="s">
        <v>1223</v>
      </c>
      <c r="E154" t="s">
        <v>1224</v>
      </c>
      <c r="F154" t="s">
        <v>1225</v>
      </c>
      <c r="G154" t="s">
        <v>1220</v>
      </c>
    </row>
    <row r="155" spans="1:7" x14ac:dyDescent="0.25">
      <c r="A155" t="s">
        <v>1214</v>
      </c>
      <c r="B155" t="s">
        <v>1176</v>
      </c>
      <c r="C155" t="s">
        <v>1226</v>
      </c>
      <c r="D155" t="s">
        <v>1227</v>
      </c>
      <c r="E155" t="s">
        <v>1228</v>
      </c>
      <c r="F155" t="s">
        <v>1229</v>
      </c>
      <c r="G155" t="s">
        <v>1230</v>
      </c>
    </row>
    <row r="156" spans="1:7" x14ac:dyDescent="0.25">
      <c r="A156" t="s">
        <v>1214</v>
      </c>
      <c r="B156" t="s">
        <v>1231</v>
      </c>
      <c r="C156" t="s">
        <v>1232</v>
      </c>
      <c r="D156" t="s">
        <v>1233</v>
      </c>
      <c r="E156" t="s">
        <v>1234</v>
      </c>
      <c r="F156" t="s">
        <v>1235</v>
      </c>
      <c r="G156" t="s">
        <v>1236</v>
      </c>
    </row>
    <row r="157" spans="1:7" x14ac:dyDescent="0.25">
      <c r="A157" t="s">
        <v>1214</v>
      </c>
      <c r="B157" t="s">
        <v>1254</v>
      </c>
      <c r="C157" t="s">
        <v>1311</v>
      </c>
      <c r="D157" t="s">
        <v>1312</v>
      </c>
      <c r="E157" t="s">
        <v>1313</v>
      </c>
      <c r="F157" t="s">
        <v>1314</v>
      </c>
      <c r="G157" t="s">
        <v>1315</v>
      </c>
    </row>
    <row r="158" spans="1:7" x14ac:dyDescent="0.25">
      <c r="A158" t="s">
        <v>1214</v>
      </c>
      <c r="B158" t="s">
        <v>1167</v>
      </c>
      <c r="C158" t="s">
        <v>1366</v>
      </c>
      <c r="D158" t="s">
        <v>1367</v>
      </c>
      <c r="E158" t="s">
        <v>87</v>
      </c>
      <c r="F158" t="s">
        <v>1368</v>
      </c>
      <c r="G158" t="s">
        <v>1197</v>
      </c>
    </row>
    <row r="159" spans="1:7" x14ac:dyDescent="0.25">
      <c r="A159" t="s">
        <v>1214</v>
      </c>
      <c r="B159" t="s">
        <v>1248</v>
      </c>
      <c r="C159" t="s">
        <v>1416</v>
      </c>
      <c r="D159" t="s">
        <v>1223</v>
      </c>
      <c r="E159" t="s">
        <v>1417</v>
      </c>
      <c r="F159" t="s">
        <v>1418</v>
      </c>
      <c r="G159" t="s">
        <v>1419</v>
      </c>
    </row>
    <row r="160" spans="1:7" x14ac:dyDescent="0.25">
      <c r="A160" t="s">
        <v>1214</v>
      </c>
      <c r="B160" t="s">
        <v>1248</v>
      </c>
      <c r="C160" t="s">
        <v>1487</v>
      </c>
      <c r="D160" t="s">
        <v>1223</v>
      </c>
      <c r="E160" t="s">
        <v>1488</v>
      </c>
      <c r="F160" t="s">
        <v>1489</v>
      </c>
      <c r="G160" t="s">
        <v>1220</v>
      </c>
    </row>
    <row r="161" spans="1:7" x14ac:dyDescent="0.25">
      <c r="A161" t="s">
        <v>1214</v>
      </c>
      <c r="B161" t="s">
        <v>1215</v>
      </c>
      <c r="C161" t="s">
        <v>1542</v>
      </c>
      <c r="D161" t="s">
        <v>1543</v>
      </c>
      <c r="E161" t="s">
        <v>1544</v>
      </c>
      <c r="F161" t="s">
        <v>1545</v>
      </c>
      <c r="G161" t="s">
        <v>1546</v>
      </c>
    </row>
    <row r="162" spans="1:7" x14ac:dyDescent="0.25">
      <c r="A162" t="s">
        <v>1214</v>
      </c>
      <c r="B162" t="s">
        <v>1492</v>
      </c>
      <c r="C162" t="s">
        <v>1547</v>
      </c>
      <c r="D162" t="s">
        <v>1543</v>
      </c>
      <c r="E162" t="s">
        <v>1548</v>
      </c>
      <c r="F162" t="s">
        <v>1549</v>
      </c>
      <c r="G162" t="s">
        <v>1550</v>
      </c>
    </row>
    <row r="163" spans="1:7" x14ac:dyDescent="0.25">
      <c r="A163" s="48" t="s">
        <v>1237</v>
      </c>
      <c r="B163" t="s">
        <v>1231</v>
      </c>
      <c r="C163" s="48" t="s">
        <v>1238</v>
      </c>
      <c r="D163" s="48" t="s">
        <v>1239</v>
      </c>
      <c r="E163" s="48" t="s">
        <v>1240</v>
      </c>
      <c r="F163" s="48" t="s">
        <v>1241</v>
      </c>
      <c r="G163" s="48" t="s">
        <v>1242</v>
      </c>
    </row>
    <row r="164" spans="1:7" x14ac:dyDescent="0.25">
      <c r="A164" s="48" t="s">
        <v>1237</v>
      </c>
      <c r="B164" t="s">
        <v>1254</v>
      </c>
      <c r="C164" s="48" t="s">
        <v>1296</v>
      </c>
      <c r="D164" s="48" t="s">
        <v>1297</v>
      </c>
      <c r="E164" s="48" t="s">
        <v>1298</v>
      </c>
      <c r="F164" s="48" t="s">
        <v>1299</v>
      </c>
      <c r="G164" s="48" t="s">
        <v>1300</v>
      </c>
    </row>
    <row r="165" spans="1:7" x14ac:dyDescent="0.25">
      <c r="A165" s="48" t="s">
        <v>1237</v>
      </c>
      <c r="B165" t="s">
        <v>1167</v>
      </c>
      <c r="C165" s="48" t="s">
        <v>1377</v>
      </c>
      <c r="D165" s="48" t="s">
        <v>1378</v>
      </c>
      <c r="E165" s="48" t="s">
        <v>1173</v>
      </c>
      <c r="F165" s="48" t="s">
        <v>1379</v>
      </c>
      <c r="G165" s="48" t="s">
        <v>1380</v>
      </c>
    </row>
    <row r="166" spans="1:7" x14ac:dyDescent="0.25">
      <c r="A166" s="48" t="s">
        <v>1237</v>
      </c>
      <c r="B166" t="s">
        <v>1176</v>
      </c>
      <c r="C166" s="48" t="s">
        <v>1537</v>
      </c>
      <c r="D166" s="48" t="s">
        <v>1538</v>
      </c>
      <c r="E166" s="48" t="s">
        <v>1539</v>
      </c>
      <c r="F166" s="48" t="s">
        <v>1540</v>
      </c>
      <c r="G166" s="48" t="s">
        <v>1541</v>
      </c>
    </row>
    <row r="167" spans="1:7" x14ac:dyDescent="0.25">
      <c r="A167" t="s">
        <v>400</v>
      </c>
      <c r="B167" t="s">
        <v>1221</v>
      </c>
      <c r="C167" t="s">
        <v>1384</v>
      </c>
      <c r="D167" t="s">
        <v>1385</v>
      </c>
      <c r="E167" t="s">
        <v>1386</v>
      </c>
      <c r="F167" t="s">
        <v>1387</v>
      </c>
      <c r="G167" t="s">
        <v>1388</v>
      </c>
    </row>
    <row r="168" spans="1:7" hidden="1" x14ac:dyDescent="0.25">
      <c r="A168" t="s">
        <v>400</v>
      </c>
      <c r="B168" t="s">
        <v>1254</v>
      </c>
      <c r="C168" t="s">
        <v>1462</v>
      </c>
      <c r="D168" t="s">
        <v>1463</v>
      </c>
      <c r="E168" t="s">
        <v>1463</v>
      </c>
      <c r="G168" t="s">
        <v>1464</v>
      </c>
    </row>
    <row r="169" spans="1:7" hidden="1" x14ac:dyDescent="0.25">
      <c r="A169" t="s">
        <v>400</v>
      </c>
      <c r="B169" t="s">
        <v>1258</v>
      </c>
      <c r="C169" t="s">
        <v>1465</v>
      </c>
      <c r="D169" t="s">
        <v>1466</v>
      </c>
      <c r="E169" t="s">
        <v>1467</v>
      </c>
      <c r="G169" t="s">
        <v>1464</v>
      </c>
    </row>
    <row r="170" spans="1:7" hidden="1" x14ac:dyDescent="0.25">
      <c r="A170" t="s">
        <v>400</v>
      </c>
      <c r="B170" t="s">
        <v>1498</v>
      </c>
      <c r="C170" t="s">
        <v>1499</v>
      </c>
      <c r="D170" t="s">
        <v>1500</v>
      </c>
      <c r="E170" t="s">
        <v>1501</v>
      </c>
      <c r="G170" t="s">
        <v>1464</v>
      </c>
    </row>
    <row r="171" spans="1:7" hidden="1" x14ac:dyDescent="0.25">
      <c r="A171" t="s">
        <v>400</v>
      </c>
      <c r="B171" t="s">
        <v>1248</v>
      </c>
      <c r="C171" t="s">
        <v>1316</v>
      </c>
      <c r="D171" t="s">
        <v>1525</v>
      </c>
      <c r="E171" t="s">
        <v>1526</v>
      </c>
      <c r="G171" t="s">
        <v>1464</v>
      </c>
    </row>
    <row r="172" spans="1:7" hidden="1" x14ac:dyDescent="0.25">
      <c r="A172" t="s">
        <v>400</v>
      </c>
      <c r="B172" t="s">
        <v>1215</v>
      </c>
      <c r="C172" t="s">
        <v>1483</v>
      </c>
      <c r="D172" t="s">
        <v>1686</v>
      </c>
      <c r="E172" t="s">
        <v>1687</v>
      </c>
      <c r="G172" t="s">
        <v>1688</v>
      </c>
    </row>
    <row r="173" spans="1:7" x14ac:dyDescent="0.25">
      <c r="A173" t="s">
        <v>400</v>
      </c>
      <c r="B173" t="s">
        <v>1258</v>
      </c>
      <c r="C173" t="s">
        <v>1406</v>
      </c>
      <c r="D173" t="s">
        <v>1692</v>
      </c>
      <c r="E173" t="s">
        <v>1693</v>
      </c>
      <c r="F173" t="s">
        <v>1694</v>
      </c>
      <c r="G173" t="s">
        <v>1695</v>
      </c>
    </row>
    <row r="174" spans="1:7" x14ac:dyDescent="0.25">
      <c r="A174" t="s">
        <v>400</v>
      </c>
      <c r="B174" t="s">
        <v>1498</v>
      </c>
      <c r="C174" t="s">
        <v>1696</v>
      </c>
      <c r="D174" t="s">
        <v>1697</v>
      </c>
      <c r="E174" t="s">
        <v>1698</v>
      </c>
      <c r="F174" t="s">
        <v>1699</v>
      </c>
      <c r="G174" t="s">
        <v>1700</v>
      </c>
    </row>
    <row r="175" spans="1:7" x14ac:dyDescent="0.25">
      <c r="A175" t="s">
        <v>400</v>
      </c>
      <c r="B175" t="s">
        <v>1215</v>
      </c>
      <c r="C175" t="s">
        <v>1618</v>
      </c>
      <c r="D175" t="s">
        <v>1836</v>
      </c>
      <c r="E175" t="s">
        <v>1837</v>
      </c>
      <c r="F175" t="s">
        <v>1838</v>
      </c>
      <c r="G175" t="s">
        <v>1464</v>
      </c>
    </row>
    <row r="176" spans="1:7" x14ac:dyDescent="0.25">
      <c r="A176" t="s">
        <v>400</v>
      </c>
      <c r="B176" t="s">
        <v>1254</v>
      </c>
      <c r="C176" t="s">
        <v>1850</v>
      </c>
      <c r="D176" t="s">
        <v>1851</v>
      </c>
      <c r="E176" t="s">
        <v>1852</v>
      </c>
      <c r="F176" t="s">
        <v>1853</v>
      </c>
      <c r="G176" t="s">
        <v>1464</v>
      </c>
    </row>
    <row r="177" spans="1:7" x14ac:dyDescent="0.25">
      <c r="A177" t="s">
        <v>400</v>
      </c>
      <c r="B177" t="s">
        <v>1231</v>
      </c>
      <c r="C177" t="s">
        <v>1817</v>
      </c>
      <c r="D177" t="s">
        <v>1914</v>
      </c>
      <c r="E177" t="s">
        <v>1915</v>
      </c>
      <c r="F177" t="s">
        <v>1916</v>
      </c>
      <c r="G177" t="s">
        <v>1917</v>
      </c>
    </row>
    <row r="178" spans="1:7" x14ac:dyDescent="0.25">
      <c r="A178" s="48" t="s">
        <v>408</v>
      </c>
      <c r="B178" t="s">
        <v>1492</v>
      </c>
      <c r="C178" s="48" t="s">
        <v>1493</v>
      </c>
      <c r="D178" s="48" t="s">
        <v>1494</v>
      </c>
      <c r="E178" s="48" t="s">
        <v>1495</v>
      </c>
      <c r="F178" s="48" t="s">
        <v>1496</v>
      </c>
      <c r="G178" s="48" t="s">
        <v>1497</v>
      </c>
    </row>
    <row r="179" spans="1:7" hidden="1" x14ac:dyDescent="0.25">
      <c r="A179" t="s">
        <v>408</v>
      </c>
      <c r="B179" t="s">
        <v>1221</v>
      </c>
      <c r="C179" t="s">
        <v>1660</v>
      </c>
      <c r="D179" t="s">
        <v>1661</v>
      </c>
      <c r="E179" t="s">
        <v>1662</v>
      </c>
      <c r="G179" t="s">
        <v>1497</v>
      </c>
    </row>
    <row r="180" spans="1:7" x14ac:dyDescent="0.25">
      <c r="A180" s="48" t="s">
        <v>408</v>
      </c>
      <c r="B180" t="s">
        <v>1215</v>
      </c>
      <c r="C180" s="48" t="s">
        <v>1681</v>
      </c>
      <c r="D180" s="48" t="s">
        <v>1682</v>
      </c>
      <c r="E180" s="48" t="s">
        <v>1683</v>
      </c>
      <c r="F180" s="48" t="s">
        <v>1684</v>
      </c>
      <c r="G180" s="48" t="s">
        <v>1685</v>
      </c>
    </row>
    <row r="181" spans="1:7" x14ac:dyDescent="0.25">
      <c r="A181" s="48" t="s">
        <v>408</v>
      </c>
      <c r="B181" t="s">
        <v>1498</v>
      </c>
      <c r="C181" s="48" t="s">
        <v>1826</v>
      </c>
      <c r="D181" s="48" t="s">
        <v>1827</v>
      </c>
      <c r="E181" s="48" t="s">
        <v>1828</v>
      </c>
      <c r="F181" s="48" t="s">
        <v>1829</v>
      </c>
      <c r="G181" s="48" t="s">
        <v>1830</v>
      </c>
    </row>
    <row r="182" spans="1:7" x14ac:dyDescent="0.25">
      <c r="A182" t="s">
        <v>987</v>
      </c>
      <c r="B182" t="s">
        <v>1248</v>
      </c>
      <c r="C182" t="s">
        <v>1249</v>
      </c>
      <c r="D182" t="s">
        <v>1250</v>
      </c>
      <c r="E182" t="s">
        <v>1251</v>
      </c>
      <c r="F182" t="s">
        <v>1252</v>
      </c>
      <c r="G182" t="s">
        <v>1253</v>
      </c>
    </row>
    <row r="183" spans="1:7" x14ac:dyDescent="0.25">
      <c r="A183" t="s">
        <v>987</v>
      </c>
      <c r="B183" t="s">
        <v>1258</v>
      </c>
      <c r="C183" t="s">
        <v>1316</v>
      </c>
      <c r="D183" t="s">
        <v>1317</v>
      </c>
      <c r="E183" t="s">
        <v>1318</v>
      </c>
      <c r="F183" t="s">
        <v>1319</v>
      </c>
      <c r="G183" t="s">
        <v>1320</v>
      </c>
    </row>
    <row r="184" spans="1:7" x14ac:dyDescent="0.25">
      <c r="A184" t="s">
        <v>987</v>
      </c>
      <c r="B184" t="s">
        <v>1254</v>
      </c>
      <c r="C184" t="s">
        <v>1321</v>
      </c>
      <c r="D184" t="s">
        <v>1322</v>
      </c>
      <c r="E184" t="s">
        <v>1323</v>
      </c>
      <c r="F184" t="s">
        <v>1324</v>
      </c>
      <c r="G184" t="s">
        <v>1320</v>
      </c>
    </row>
    <row r="185" spans="1:7" x14ac:dyDescent="0.25">
      <c r="A185" t="s">
        <v>987</v>
      </c>
      <c r="B185" t="s">
        <v>1167</v>
      </c>
      <c r="C185" t="s">
        <v>1353</v>
      </c>
      <c r="D185" t="s">
        <v>1354</v>
      </c>
      <c r="E185" t="s">
        <v>87</v>
      </c>
      <c r="F185" t="s">
        <v>1355</v>
      </c>
      <c r="G185" t="s">
        <v>1197</v>
      </c>
    </row>
    <row r="186" spans="1:7" x14ac:dyDescent="0.25">
      <c r="A186" t="s">
        <v>987</v>
      </c>
      <c r="B186" t="s">
        <v>1258</v>
      </c>
      <c r="C186" t="s">
        <v>1249</v>
      </c>
      <c r="D186" t="s">
        <v>1589</v>
      </c>
      <c r="E186" t="s">
        <v>1590</v>
      </c>
      <c r="F186" t="s">
        <v>1591</v>
      </c>
      <c r="G186" t="s">
        <v>1320</v>
      </c>
    </row>
    <row r="187" spans="1:7" x14ac:dyDescent="0.25">
      <c r="A187" t="s">
        <v>987</v>
      </c>
      <c r="B187" t="s">
        <v>1254</v>
      </c>
      <c r="C187" t="s">
        <v>1592</v>
      </c>
      <c r="D187" t="s">
        <v>1593</v>
      </c>
      <c r="E187" t="s">
        <v>1594</v>
      </c>
      <c r="F187" t="s">
        <v>1595</v>
      </c>
      <c r="G187" t="s">
        <v>1596</v>
      </c>
    </row>
    <row r="188" spans="1:7" x14ac:dyDescent="0.25">
      <c r="A188" t="s">
        <v>987</v>
      </c>
      <c r="B188" t="s">
        <v>1231</v>
      </c>
      <c r="C188" t="s">
        <v>1597</v>
      </c>
      <c r="D188" t="s">
        <v>1598</v>
      </c>
      <c r="E188" t="s">
        <v>1599</v>
      </c>
      <c r="F188" t="s">
        <v>1600</v>
      </c>
      <c r="G188" t="s">
        <v>1601</v>
      </c>
    </row>
    <row r="189" spans="1:7" x14ac:dyDescent="0.25">
      <c r="A189" t="s">
        <v>987</v>
      </c>
      <c r="B189" t="s">
        <v>1498</v>
      </c>
      <c r="C189" t="s">
        <v>1602</v>
      </c>
      <c r="D189" t="s">
        <v>1603</v>
      </c>
      <c r="E189" t="s">
        <v>1560</v>
      </c>
      <c r="F189" t="s">
        <v>1604</v>
      </c>
      <c r="G189" t="s">
        <v>1605</v>
      </c>
    </row>
    <row r="190" spans="1:7" x14ac:dyDescent="0.25">
      <c r="A190" s="48" t="s">
        <v>427</v>
      </c>
      <c r="B190" t="s">
        <v>1248</v>
      </c>
      <c r="C190" s="48" t="s">
        <v>1325</v>
      </c>
      <c r="D190" s="48" t="s">
        <v>1326</v>
      </c>
      <c r="E190" s="48" t="s">
        <v>1327</v>
      </c>
      <c r="F190" s="48" t="s">
        <v>1328</v>
      </c>
      <c r="G190" s="48" t="s">
        <v>1329</v>
      </c>
    </row>
    <row r="191" spans="1:7" x14ac:dyDescent="0.25">
      <c r="A191" s="48" t="s">
        <v>427</v>
      </c>
      <c r="B191" t="s">
        <v>1258</v>
      </c>
      <c r="C191" s="48" t="s">
        <v>1330</v>
      </c>
      <c r="D191" s="48" t="s">
        <v>1331</v>
      </c>
      <c r="E191" s="48" t="s">
        <v>1332</v>
      </c>
      <c r="F191" s="48" t="s">
        <v>1333</v>
      </c>
      <c r="G191" s="48" t="s">
        <v>1329</v>
      </c>
    </row>
    <row r="192" spans="1:7" hidden="1" x14ac:dyDescent="0.25">
      <c r="A192" t="s">
        <v>427</v>
      </c>
      <c r="B192" t="s">
        <v>1254</v>
      </c>
      <c r="C192" t="s">
        <v>1334</v>
      </c>
      <c r="D192" t="s">
        <v>1335</v>
      </c>
      <c r="E192" t="s">
        <v>1336</v>
      </c>
      <c r="G192" t="s">
        <v>1329</v>
      </c>
    </row>
    <row r="193" spans="1:7" x14ac:dyDescent="0.25">
      <c r="A193" s="48" t="s">
        <v>427</v>
      </c>
      <c r="B193" t="s">
        <v>1167</v>
      </c>
      <c r="C193" s="48" t="s">
        <v>1356</v>
      </c>
      <c r="D193" s="48" t="s">
        <v>1357</v>
      </c>
      <c r="E193" s="48" t="s">
        <v>1173</v>
      </c>
      <c r="F193" s="48" t="s">
        <v>1358</v>
      </c>
      <c r="G193" s="48" t="s">
        <v>1329</v>
      </c>
    </row>
    <row r="194" spans="1:7" x14ac:dyDescent="0.25">
      <c r="A194" s="48" t="s">
        <v>427</v>
      </c>
      <c r="B194" t="s">
        <v>1254</v>
      </c>
      <c r="C194" s="48" t="s">
        <v>1424</v>
      </c>
      <c r="D194" s="48" t="s">
        <v>1425</v>
      </c>
      <c r="E194" s="48" t="s">
        <v>1426</v>
      </c>
      <c r="F194" s="48" t="s">
        <v>1427</v>
      </c>
      <c r="G194" s="48" t="s">
        <v>1329</v>
      </c>
    </row>
    <row r="195" spans="1:7" x14ac:dyDescent="0.25">
      <c r="A195" s="48" t="s">
        <v>427</v>
      </c>
      <c r="B195" t="s">
        <v>1231</v>
      </c>
      <c r="C195" s="48" t="s">
        <v>1478</v>
      </c>
      <c r="D195" s="48" t="s">
        <v>1606</v>
      </c>
      <c r="E195" s="48" t="s">
        <v>1607</v>
      </c>
      <c r="F195" s="48" t="s">
        <v>1608</v>
      </c>
      <c r="G195" s="48" t="s">
        <v>1329</v>
      </c>
    </row>
    <row r="196" spans="1:7" x14ac:dyDescent="0.25">
      <c r="A196" s="48" t="s">
        <v>427</v>
      </c>
      <c r="B196" t="s">
        <v>1215</v>
      </c>
      <c r="C196" s="48" t="s">
        <v>1609</v>
      </c>
      <c r="D196" s="48" t="s">
        <v>1610</v>
      </c>
      <c r="E196" s="48" t="s">
        <v>1611</v>
      </c>
      <c r="F196" s="48" t="s">
        <v>1612</v>
      </c>
      <c r="G196" s="48" t="s">
        <v>1613</v>
      </c>
    </row>
    <row r="197" spans="1:7" x14ac:dyDescent="0.25">
      <c r="A197" t="s">
        <v>349</v>
      </c>
      <c r="B197" t="s">
        <v>1167</v>
      </c>
      <c r="C197" t="s">
        <v>1349</v>
      </c>
      <c r="D197" t="s">
        <v>1350</v>
      </c>
      <c r="E197" t="s">
        <v>87</v>
      </c>
      <c r="F197" t="s">
        <v>1351</v>
      </c>
      <c r="G197" t="s">
        <v>1352</v>
      </c>
    </row>
    <row r="198" spans="1:7" x14ac:dyDescent="0.25">
      <c r="A198" t="s">
        <v>349</v>
      </c>
      <c r="B198" t="s">
        <v>1176</v>
      </c>
      <c r="C198" t="s">
        <v>1575</v>
      </c>
      <c r="D198" t="s">
        <v>1576</v>
      </c>
      <c r="E198" t="s">
        <v>1577</v>
      </c>
      <c r="F198" t="s">
        <v>1578</v>
      </c>
      <c r="G198" t="s">
        <v>1579</v>
      </c>
    </row>
    <row r="199" spans="1:7" x14ac:dyDescent="0.25">
      <c r="A199" t="s">
        <v>349</v>
      </c>
      <c r="B199" t="s">
        <v>1215</v>
      </c>
      <c r="C199" t="s">
        <v>1580</v>
      </c>
      <c r="D199" t="s">
        <v>1473</v>
      </c>
      <c r="E199" t="s">
        <v>1581</v>
      </c>
      <c r="F199" t="s">
        <v>1582</v>
      </c>
      <c r="G199" t="s">
        <v>1197</v>
      </c>
    </row>
    <row r="200" spans="1:7" x14ac:dyDescent="0.25">
      <c r="A200" s="48" t="s">
        <v>515</v>
      </c>
      <c r="B200" t="s">
        <v>1167</v>
      </c>
      <c r="C200" s="48" t="s">
        <v>1359</v>
      </c>
      <c r="D200" s="48" t="s">
        <v>1360</v>
      </c>
      <c r="E200" s="48" t="s">
        <v>1173</v>
      </c>
      <c r="F200" s="48" t="s">
        <v>1361</v>
      </c>
      <c r="G200" s="48" t="s">
        <v>1362</v>
      </c>
    </row>
    <row r="201" spans="1:7" x14ac:dyDescent="0.25">
      <c r="A201" s="48" t="s">
        <v>515</v>
      </c>
      <c r="B201" t="s">
        <v>1254</v>
      </c>
      <c r="C201" s="48" t="s">
        <v>1389</v>
      </c>
      <c r="D201" s="48" t="s">
        <v>1390</v>
      </c>
      <c r="E201" s="48" t="s">
        <v>1391</v>
      </c>
      <c r="F201" s="48" t="s">
        <v>1392</v>
      </c>
      <c r="G201" s="48" t="s">
        <v>1393</v>
      </c>
    </row>
    <row r="202" spans="1:7" x14ac:dyDescent="0.25">
      <c r="A202" s="48" t="s">
        <v>515</v>
      </c>
      <c r="B202" t="s">
        <v>1492</v>
      </c>
      <c r="C202" s="48" t="s">
        <v>1563</v>
      </c>
      <c r="D202" s="48" t="s">
        <v>1564</v>
      </c>
      <c r="E202" s="48" t="s">
        <v>136</v>
      </c>
      <c r="F202" s="48" t="s">
        <v>1565</v>
      </c>
      <c r="G202" s="48" t="s">
        <v>1362</v>
      </c>
    </row>
    <row r="203" spans="1:7" x14ac:dyDescent="0.25">
      <c r="A203" s="48" t="s">
        <v>515</v>
      </c>
      <c r="B203" t="s">
        <v>1221</v>
      </c>
      <c r="C203" s="48" t="s">
        <v>1281</v>
      </c>
      <c r="D203" s="48" t="s">
        <v>1614</v>
      </c>
      <c r="E203" s="48" t="s">
        <v>1615</v>
      </c>
      <c r="F203" s="48" t="s">
        <v>1616</v>
      </c>
      <c r="G203" s="48" t="s">
        <v>1617</v>
      </c>
    </row>
  </sheetData>
  <autoFilter ref="A1:G203" xr:uid="{0E2B9837-93B0-406E-A9BE-BCA2AB6F9E65}">
    <filterColumn colId="4">
      <filters>
        <filter val="Assistant Director - Math Secondary"/>
        <filter val="Assistant Director of Professional Learning Systems"/>
        <filter val="Assistant Superintendent"/>
        <filter val="Assistant Superintendent - Student Performance"/>
        <filter val="Assistant Superintendent - Teaching &amp; Learning"/>
        <filter val="Assistant Superintendent Academics"/>
        <filter val="Assistant Superintendent for Curriculum, Instruction, and Assessment"/>
        <filter val="Assistant Superintendent for Educational Support Services"/>
        <filter val="Assistant Superintendent for Special Education"/>
        <filter val="Assistant Superintendent for Teaching &amp; Learning"/>
        <filter val="Assistant Superintendent of Academic Services"/>
        <filter val="Assistant Superintendent of Schools"/>
        <filter val="Assistant Superintendent of Teaching and Learning"/>
        <filter val="Assistant Superintendent T&amp;L"/>
        <filter val="Assistant Superintendent Teaching and Learning / Executive Director, Teaching and Learning"/>
        <filter val="Assistant Superintendent, Bilingual, ESL &amp; Migrant"/>
        <filter val="Assistant Superintendent, Curriculum and Instruction, High School"/>
        <filter val="Assistant Superintendent, Elementary"/>
        <filter val="Associate Superintendent for Curriculum, Instruction, &amp; Assessment"/>
        <filter val="Associate Superintendent for Instructional Leadership"/>
        <filter val="Bilingual &amp; ESL Department Director"/>
        <filter val="Bilingual/Dual Language Coordinator"/>
        <filter val="Bilingual/ESL Director"/>
        <filter val="Bilingual/ESL/Title III Director"/>
        <filter val="Career Technical Education Director"/>
        <filter val="CEO and Superintendent"/>
        <filter val="Chief Academic Officer"/>
        <filter val="Chief Academic Officer / Associate Superintendent"/>
        <filter val="Chief Instructional Officer"/>
        <filter val="Chief Learning Officer"/>
        <filter val="Chief of Accountability, Assessment, and Analytics"/>
        <filter val="Chief of Leadership &amp; Professional Development"/>
        <filter val="Chief of School Leadership"/>
        <filter val="Coordinator (Elementary Literacy)"/>
        <filter val="Coordinator Elem Math"/>
        <filter val="Coordinator Elementary Reading"/>
        <filter val="Coordinator for Math-Secondary (COORD MATH-SEC)"/>
        <filter val="Coordinator for Secondary Mathematics"/>
        <filter val="Coordinator for Secondary Multilingual Education"/>
        <filter val="Coordinator Math - Middle School"/>
        <filter val="Coordinator Math Intervention"/>
        <filter val="Coordinator Math-Secondary"/>
        <filter val="Coordinator of Secondary Mathematics &amp; Advanced Math Initiatives"/>
        <filter val="Coordinator Sec Math"/>
        <filter val="Coordinator, K12 Mathematics"/>
        <filter val="Coordinator, K-12 Reading Language Arts"/>
        <filter val="Coordinator, Professional Growth &amp; Leadership Development"/>
        <filter val="CTE Director"/>
        <filter val="CTE Director, Compliance &amp; Grants, AgScience, CFISD Livestock Show &amp; AFJROTC"/>
        <filter val="Deputy Chief College Readiness"/>
        <filter val="Deputy Chief for College, Career, and Military Readiness"/>
        <filter val="Deputy Superintendent Academics"/>
        <filter val="Deputy Superintendent Curriculum and Instruction"/>
        <filter val="Deputy Superintendent for Curriculum and Instruction"/>
        <filter val="Deputy Superintendent of Teaching and Learning"/>
        <filter val="Director - Mathematics"/>
        <filter val="Director Bilingual &amp; ESL Programs"/>
        <filter val="Director CTE"/>
        <filter val="Director Curriculum and Intervention"/>
        <filter val="Director for Professional Learning"/>
        <filter val="Director of Reading Language Arts"/>
        <filter val="Director of Secondary Curriculum and Instruction"/>
        <filter val="Director of Secondary Curriculum, Instruction and Staff Development"/>
        <filter val="Director of Secondary Math and Science"/>
        <filter val="Director of the Bilingual/ESL Department"/>
        <filter val="Director Professional Learning"/>
        <filter val="Director, Career &amp; Technical Education"/>
        <filter val="Director, Career and Technical Education"/>
        <filter val="Director, Career and Technical Education Department"/>
        <filter val="Director, Curriculum &amp; Instruction for Special Populations"/>
        <filter val="Director, Multilingual"/>
        <filter val="Director, Professional and Innovative Learning"/>
        <filter val="Director, Professional Learning"/>
        <filter val="Director, Professional Learning - Curriculum &amp; Instruction"/>
        <filter val="Director, Secondary Mathematics"/>
        <filter val="Director, Special Ed, Secondary, Curr &amp; Instr - SPED"/>
        <filter val="District Leadership Development Director"/>
        <filter val="ELA Department Coordinator/Administration"/>
        <filter val="ELAR Instructional Specialist - ELAR Secondary"/>
        <filter val="Elementary Director, Reading and Language Arts"/>
        <filter val="Elementary ELAR Coordinator"/>
        <filter val="Elementary Language Arts Coordinator"/>
        <filter val="Elementary Math Coordinator"/>
        <filter val="Elementary Math Coordinator (PK-6)"/>
        <filter val="Elementary Math Coordinator PreKindergarten"/>
        <filter val="Elementary Mathematics Dean"/>
        <filter val="English as a Second Language (ESL) Coordinator"/>
        <filter val="English Language Arts/Reading - ELAR Coordinator"/>
        <filter val="Exec Dir Multilingual Services"/>
        <filter val="Executive Director"/>
        <filter val="Executive Director - Special Ed"/>
        <filter val="Executive Director Academics of Multilingual Ed"/>
        <filter val="Executive Director Dual Language ESL"/>
        <filter val="Executive Director for CCMR, Advanced Academics, &amp; Schools of Innovation"/>
        <filter val="Executive Director for Secondary Education"/>
        <filter val="Executive Director of Career &amp; Technical Education"/>
        <filter val="Executive Director of Career and Technical Education (CTE)"/>
        <filter val="Executive Director of CCMR and Enrichment"/>
        <filter val="Executive Director of Curriculum &amp; Instruction"/>
        <filter val="Executive Director of Elementary Curriculum and Instruction"/>
        <filter val="Executive Director of Multilingual Services"/>
        <filter val="Executive Director of Professional &amp; Digital Learning"/>
        <filter val="Executive Director of Professional and Innovative Learning"/>
        <filter val="Executive Director of Professional Development and Events"/>
        <filter val="Executive Director of Professional Learning and Leadership Development"/>
        <filter val="Executive Director of Secondary Teaching &amp; Learning"/>
        <filter val="Executive Director of Special Education"/>
        <filter val="Executive Director of Special Education/504"/>
        <filter val="Executive Director of Teaching and Learning"/>
        <filter val="Executive Director Special Education"/>
        <filter val="Executive Director Special Education Services"/>
        <filter val="Executive Director, Career &amp; Technical Education"/>
        <filter val="Executive Director, College &amp; Career Readiness Innovation"/>
        <filter val="Executive Director, CTE &amp; Career Readiness"/>
        <filter val="Executive Director, Curriculum &amp; Instruction"/>
        <filter val="Executive Director, Curriculum, Instruction, &amp; Innovation"/>
        <filter val="Executive Director, English as a Second Language (ESL) / Multilingual Programs"/>
        <filter val="Executive Director, Secondary - Curriculum &amp; Instruction"/>
        <filter val="Interim Superintendent"/>
        <filter val="K-12 Mathematics Coordinator"/>
        <filter val="Literacy Director"/>
        <filter val="Math Coordinator"/>
        <filter val="Mathematics Coordinator"/>
        <filter val="Mathematics Coordinator (Elem.)"/>
        <filter val="Mathematics Director"/>
        <filter val="Secondary Coordinator for Math"/>
        <filter val="Secondary Eng/LA Curriculum Coach"/>
        <filter val="Secondary Math Coordinator"/>
        <filter val="Secondary Math Coordinator Algebra I"/>
        <filter val="Secondary Math Instructional Officer"/>
        <filter val="Senior Director - Bil/ESL Programs"/>
        <filter val="Senior Director - Career &amp; Tech Ed"/>
        <filter val="Senior Director, Bilingual/ESL Program"/>
        <filter val="Senior EL Programs Lead"/>
        <filter val="Senior Executive Director for the Curriculum, Instruction, and Assessment Department"/>
        <filter val="Senior Vice President of Academics"/>
        <filter val="Special Education Director"/>
        <filter val="Sr. Math Curriculum Manager"/>
        <filter val="Superintendent"/>
        <filter val="Superintendent of School"/>
        <filter val="Superintendent of Schools"/>
      </filters>
    </filterColumn>
    <filterColumn colId="5">
      <customFilters>
        <customFilter operator="notEqual" val=" "/>
      </customFilters>
    </filterColumn>
    <sortState xmlns:xlrd2="http://schemas.microsoft.com/office/spreadsheetml/2017/richdata2" ref="A2:G203">
      <sortCondition ref="A1"/>
    </sortState>
  </autoFilter>
  <hyperlinks>
    <hyperlink ref="F2" r:id="rId1" xr:uid="{101A9562-4168-4281-8DA4-5FE26262845B}"/>
    <hyperlink ref="F3" r:id="rId2" xr:uid="{F0570F0F-E799-4C39-919C-A7DBB8830028}"/>
    <hyperlink ref="F4" r:id="rId3" xr:uid="{0A99134B-6CBF-4A01-BDDB-CA86DD69EBAF}"/>
    <hyperlink ref="F5" r:id="rId4" xr:uid="{11EAD542-C1A8-495A-BBD9-2AFFED0CBA45}"/>
    <hyperlink ref="F6" r:id="rId5" xr:uid="{6D0C6C70-317F-4A84-822A-444D859D048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52E97-5D89-40C2-8BAC-0D1628D45637}">
  <sheetPr>
    <tabColor theme="5" tint="0.59999389629810485"/>
  </sheetPr>
  <dimension ref="A1:V28"/>
  <sheetViews>
    <sheetView topLeftCell="A7" workbookViewId="0">
      <selection activeCell="O5" sqref="O5"/>
    </sheetView>
  </sheetViews>
  <sheetFormatPr defaultColWidth="9.140625" defaultRowHeight="15" x14ac:dyDescent="0.25"/>
  <cols>
    <col min="1" max="2" width="12.7109375" style="1" customWidth="1"/>
    <col min="3" max="3" width="12.7109375" style="16" customWidth="1"/>
    <col min="4" max="4" width="12.7109375" style="1" customWidth="1"/>
    <col min="5" max="5" width="12.7109375" style="18" customWidth="1"/>
    <col min="6" max="6" width="12.7109375" style="16" customWidth="1"/>
    <col min="7" max="7" width="12.7109375" style="1" customWidth="1"/>
    <col min="8" max="8" width="12.7109375" style="18" customWidth="1"/>
    <col min="9" max="9" width="12.7109375" style="16" customWidth="1"/>
    <col min="10" max="10" width="12.7109375" style="1" customWidth="1"/>
    <col min="11" max="11" width="12.7109375" style="18" customWidth="1"/>
    <col min="12" max="12" width="12.7109375" style="16" customWidth="1"/>
    <col min="13" max="13" width="12.7109375" style="1" customWidth="1"/>
    <col min="14" max="14" width="12.7109375" style="18" customWidth="1"/>
    <col min="15" max="15" width="38.28515625" style="16" customWidth="1"/>
    <col min="16" max="16" width="12.7109375" style="1" customWidth="1"/>
    <col min="17" max="17" width="12.7109375" style="18" customWidth="1"/>
    <col min="18" max="16384" width="9.140625" style="1"/>
  </cols>
  <sheetData>
    <row r="1" spans="1:22" ht="45" x14ac:dyDescent="0.25">
      <c r="A1" s="12" t="s">
        <v>6</v>
      </c>
      <c r="B1" s="31" t="s">
        <v>162</v>
      </c>
      <c r="C1" s="13" t="s">
        <v>87</v>
      </c>
      <c r="D1" s="14" t="s">
        <v>88</v>
      </c>
      <c r="E1" s="15" t="s">
        <v>89</v>
      </c>
      <c r="F1" s="13" t="s">
        <v>90</v>
      </c>
      <c r="G1" s="14" t="s">
        <v>127</v>
      </c>
      <c r="H1" s="15" t="s">
        <v>88</v>
      </c>
      <c r="I1" s="13" t="s">
        <v>91</v>
      </c>
      <c r="J1" s="14" t="s">
        <v>127</v>
      </c>
      <c r="K1" s="15" t="s">
        <v>88</v>
      </c>
      <c r="L1" s="13" t="s">
        <v>92</v>
      </c>
      <c r="M1" s="14" t="s">
        <v>127</v>
      </c>
      <c r="N1" s="15" t="s">
        <v>88</v>
      </c>
      <c r="O1" s="13" t="s">
        <v>93</v>
      </c>
      <c r="P1" s="14" t="s">
        <v>94</v>
      </c>
      <c r="Q1" s="15" t="s">
        <v>9</v>
      </c>
      <c r="R1" s="26" t="s">
        <v>213</v>
      </c>
      <c r="S1" s="27" t="s">
        <v>214</v>
      </c>
      <c r="T1" s="28" t="s">
        <v>215</v>
      </c>
      <c r="U1" s="29" t="s">
        <v>216</v>
      </c>
      <c r="V1" s="30" t="s">
        <v>217</v>
      </c>
    </row>
    <row r="2" spans="1:22" ht="75" x14ac:dyDescent="0.25">
      <c r="A2" s="1" t="s">
        <v>10</v>
      </c>
      <c r="B2" s="1" t="s">
        <v>163</v>
      </c>
      <c r="C2" s="16" t="s">
        <v>95</v>
      </c>
      <c r="D2" s="11" t="s">
        <v>96</v>
      </c>
      <c r="F2" s="16" t="s">
        <v>97</v>
      </c>
      <c r="G2" s="1" t="s">
        <v>136</v>
      </c>
      <c r="H2" s="17" t="s">
        <v>98</v>
      </c>
      <c r="I2" s="16" t="s">
        <v>99</v>
      </c>
      <c r="J2" s="1" t="s">
        <v>137</v>
      </c>
      <c r="K2" s="17" t="s">
        <v>100</v>
      </c>
      <c r="L2" s="16" t="s">
        <v>139</v>
      </c>
      <c r="M2" s="1" t="s">
        <v>138</v>
      </c>
      <c r="N2" s="17" t="s">
        <v>140</v>
      </c>
      <c r="P2" s="1" t="s">
        <v>101</v>
      </c>
      <c r="R2" s="1">
        <v>5</v>
      </c>
      <c r="S2" s="1">
        <v>5</v>
      </c>
      <c r="T2" s="1">
        <v>5</v>
      </c>
      <c r="U2" s="1">
        <v>5</v>
      </c>
      <c r="V2" s="1">
        <v>5</v>
      </c>
    </row>
    <row r="3" spans="1:22" ht="60" x14ac:dyDescent="0.25">
      <c r="A3" s="1" t="s">
        <v>11</v>
      </c>
      <c r="C3" s="16" t="s">
        <v>124</v>
      </c>
      <c r="D3" s="11" t="s">
        <v>125</v>
      </c>
      <c r="E3" s="18" t="s">
        <v>129</v>
      </c>
      <c r="F3" s="16" t="s">
        <v>126</v>
      </c>
      <c r="G3" s="1" t="s">
        <v>128</v>
      </c>
      <c r="H3" s="17" t="s">
        <v>135</v>
      </c>
      <c r="I3" s="16" t="s">
        <v>130</v>
      </c>
      <c r="J3" s="1" t="s">
        <v>128</v>
      </c>
      <c r="K3" s="17" t="s">
        <v>131</v>
      </c>
      <c r="L3" s="16" t="s">
        <v>134</v>
      </c>
      <c r="M3" s="1" t="s">
        <v>133</v>
      </c>
      <c r="N3" s="17" t="s">
        <v>132</v>
      </c>
    </row>
    <row r="4" spans="1:22" ht="75" x14ac:dyDescent="0.25">
      <c r="A4" s="1" t="s">
        <v>12</v>
      </c>
      <c r="C4" s="16" t="s">
        <v>141</v>
      </c>
      <c r="D4" s="11" t="s">
        <v>142</v>
      </c>
      <c r="E4" s="18" t="s">
        <v>129</v>
      </c>
      <c r="F4" s="16" t="s">
        <v>144</v>
      </c>
      <c r="G4" s="1" t="s">
        <v>143</v>
      </c>
      <c r="H4" s="17" t="s">
        <v>145</v>
      </c>
      <c r="I4" s="16" t="s">
        <v>147</v>
      </c>
      <c r="J4" s="1" t="s">
        <v>146</v>
      </c>
      <c r="K4" s="17" t="s">
        <v>148</v>
      </c>
      <c r="L4" s="16" t="s">
        <v>149</v>
      </c>
      <c r="M4" s="1" t="s">
        <v>150</v>
      </c>
      <c r="N4" s="17" t="s">
        <v>151</v>
      </c>
    </row>
    <row r="5" spans="1:22" ht="105" x14ac:dyDescent="0.25">
      <c r="A5" s="1" t="s">
        <v>13</v>
      </c>
      <c r="C5" s="16" t="s">
        <v>152</v>
      </c>
      <c r="E5" s="18" t="s">
        <v>153</v>
      </c>
      <c r="F5" s="16" t="s">
        <v>155</v>
      </c>
      <c r="G5" s="1" t="s">
        <v>136</v>
      </c>
      <c r="H5" s="17" t="s">
        <v>154</v>
      </c>
      <c r="I5" s="16" t="s">
        <v>157</v>
      </c>
      <c r="J5" s="1" t="s">
        <v>156</v>
      </c>
      <c r="K5" s="18" t="s">
        <v>158</v>
      </c>
      <c r="L5" s="16" t="s">
        <v>160</v>
      </c>
      <c r="M5" s="1" t="s">
        <v>159</v>
      </c>
      <c r="N5" s="18" t="s">
        <v>161</v>
      </c>
    </row>
    <row r="6" spans="1:22" ht="90" x14ac:dyDescent="0.25">
      <c r="A6" s="1" t="s">
        <v>14</v>
      </c>
      <c r="C6" s="16" t="s">
        <v>226</v>
      </c>
      <c r="D6" s="9" t="s">
        <v>227</v>
      </c>
      <c r="E6" s="18" t="s">
        <v>231</v>
      </c>
      <c r="F6" s="16" t="s">
        <v>230</v>
      </c>
      <c r="G6" s="1" t="s">
        <v>228</v>
      </c>
      <c r="H6" s="18" t="s">
        <v>229</v>
      </c>
      <c r="I6" s="16" t="s">
        <v>225</v>
      </c>
      <c r="J6" s="1" t="s">
        <v>223</v>
      </c>
      <c r="K6" s="18" t="s">
        <v>224</v>
      </c>
      <c r="L6" s="16" t="s">
        <v>221</v>
      </c>
      <c r="M6" s="1" t="s">
        <v>220</v>
      </c>
      <c r="N6" s="18" t="s">
        <v>222</v>
      </c>
    </row>
    <row r="7" spans="1:22" ht="120" x14ac:dyDescent="0.25">
      <c r="A7" s="1" t="s">
        <v>15</v>
      </c>
      <c r="B7" s="1" t="s">
        <v>163</v>
      </c>
      <c r="C7" s="16" t="s">
        <v>232</v>
      </c>
      <c r="D7" s="9" t="s">
        <v>242</v>
      </c>
      <c r="E7" s="18" t="s">
        <v>129</v>
      </c>
      <c r="F7" s="16" t="s">
        <v>234</v>
      </c>
      <c r="G7" s="1" t="s">
        <v>233</v>
      </c>
      <c r="H7" s="18" t="s">
        <v>235</v>
      </c>
      <c r="I7" s="16" t="s">
        <v>238</v>
      </c>
      <c r="J7" s="1" t="s">
        <v>236</v>
      </c>
      <c r="K7" s="18" t="s">
        <v>237</v>
      </c>
      <c r="L7" s="16" t="s">
        <v>240</v>
      </c>
      <c r="M7" s="1" t="s">
        <v>239</v>
      </c>
      <c r="N7" s="18" t="s">
        <v>241</v>
      </c>
    </row>
    <row r="8" spans="1:22" ht="45" x14ac:dyDescent="0.25">
      <c r="A8" s="1" t="s">
        <v>16</v>
      </c>
      <c r="B8" s="1" t="s">
        <v>163</v>
      </c>
      <c r="C8" s="16" t="s">
        <v>251</v>
      </c>
      <c r="D8" s="9" t="s">
        <v>253</v>
      </c>
      <c r="E8" s="18" t="s">
        <v>252</v>
      </c>
      <c r="F8" s="16" t="s">
        <v>244</v>
      </c>
      <c r="G8" s="1" t="s">
        <v>136</v>
      </c>
      <c r="H8" s="18" t="s">
        <v>243</v>
      </c>
      <c r="I8" s="16" t="s">
        <v>246</v>
      </c>
      <c r="J8" s="1" t="s">
        <v>245</v>
      </c>
      <c r="K8" s="18" t="s">
        <v>247</v>
      </c>
      <c r="L8" s="16" t="s">
        <v>250</v>
      </c>
      <c r="M8" s="1" t="s">
        <v>248</v>
      </c>
      <c r="N8" s="18" t="s">
        <v>249</v>
      </c>
    </row>
    <row r="9" spans="1:22" ht="75" x14ac:dyDescent="0.25">
      <c r="A9" s="1" t="s">
        <v>17</v>
      </c>
      <c r="C9" s="16" t="s">
        <v>254</v>
      </c>
      <c r="D9" s="1" t="s">
        <v>262</v>
      </c>
      <c r="E9" s="18" t="s">
        <v>129</v>
      </c>
      <c r="F9" s="16" t="s">
        <v>261</v>
      </c>
      <c r="G9" s="1" t="s">
        <v>259</v>
      </c>
      <c r="H9" s="18" t="s">
        <v>260</v>
      </c>
      <c r="I9" s="16" t="s">
        <v>256</v>
      </c>
      <c r="J9" s="1" t="s">
        <v>156</v>
      </c>
      <c r="K9" s="18" t="s">
        <v>255</v>
      </c>
      <c r="L9" s="16" t="s">
        <v>258</v>
      </c>
      <c r="M9" s="1" t="s">
        <v>239</v>
      </c>
      <c r="N9" s="18" t="s">
        <v>257</v>
      </c>
    </row>
    <row r="10" spans="1:22" x14ac:dyDescent="0.25">
      <c r="A10" s="1" t="s">
        <v>18</v>
      </c>
    </row>
    <row r="11" spans="1:22" x14ac:dyDescent="0.25">
      <c r="A11" s="1" t="s">
        <v>19</v>
      </c>
      <c r="B11" s="1" t="s">
        <v>163</v>
      </c>
    </row>
    <row r="12" spans="1:22" ht="30" x14ac:dyDescent="0.25">
      <c r="A12" s="1" t="s">
        <v>20</v>
      </c>
      <c r="B12" s="1" t="s">
        <v>163</v>
      </c>
    </row>
    <row r="13" spans="1:22" x14ac:dyDescent="0.25">
      <c r="A13" s="1" t="s">
        <v>21</v>
      </c>
    </row>
    <row r="14" spans="1:22" x14ac:dyDescent="0.25">
      <c r="A14" s="1" t="s">
        <v>22</v>
      </c>
    </row>
    <row r="15" spans="1:22" x14ac:dyDescent="0.25">
      <c r="A15" s="1" t="s">
        <v>23</v>
      </c>
      <c r="B15" s="1" t="s">
        <v>163</v>
      </c>
    </row>
    <row r="16" spans="1:22" ht="30" x14ac:dyDescent="0.25">
      <c r="A16" s="1" t="s">
        <v>24</v>
      </c>
    </row>
    <row r="17" spans="1:2" x14ac:dyDescent="0.25">
      <c r="A17" s="1" t="s">
        <v>25</v>
      </c>
    </row>
    <row r="18" spans="1:2" x14ac:dyDescent="0.25">
      <c r="A18" s="1" t="s">
        <v>26</v>
      </c>
    </row>
    <row r="19" spans="1:2" x14ac:dyDescent="0.25">
      <c r="A19" s="1" t="s">
        <v>27</v>
      </c>
    </row>
    <row r="20" spans="1:2" ht="45" x14ac:dyDescent="0.25">
      <c r="A20" s="1" t="s">
        <v>28</v>
      </c>
    </row>
    <row r="21" spans="1:2" x14ac:dyDescent="0.25">
      <c r="A21" s="1" t="s">
        <v>29</v>
      </c>
    </row>
    <row r="22" spans="1:2" x14ac:dyDescent="0.25">
      <c r="A22" s="1" t="s">
        <v>30</v>
      </c>
    </row>
    <row r="23" spans="1:2" ht="30" x14ac:dyDescent="0.25">
      <c r="A23" s="1" t="s">
        <v>31</v>
      </c>
    </row>
    <row r="24" spans="1:2" ht="30" x14ac:dyDescent="0.25">
      <c r="A24" s="1" t="s">
        <v>32</v>
      </c>
    </row>
    <row r="25" spans="1:2" ht="30" x14ac:dyDescent="0.25">
      <c r="A25" s="1" t="s">
        <v>33</v>
      </c>
    </row>
    <row r="26" spans="1:2" x14ac:dyDescent="0.25">
      <c r="A26" s="1" t="s">
        <v>34</v>
      </c>
      <c r="B26" s="1" t="s">
        <v>163</v>
      </c>
    </row>
    <row r="27" spans="1:2" ht="30" x14ac:dyDescent="0.25">
      <c r="A27" s="1" t="s">
        <v>35</v>
      </c>
    </row>
    <row r="28" spans="1:2" x14ac:dyDescent="0.25">
      <c r="A28" s="1" t="s">
        <v>36</v>
      </c>
    </row>
  </sheetData>
  <hyperlinks>
    <hyperlink ref="D2" r:id="rId1" xr:uid="{13A92E26-18DC-4B89-8F9F-A184FCA41B33}"/>
    <hyperlink ref="H2" r:id="rId2" xr:uid="{1F90F659-91CC-417B-8053-259EF6133E81}"/>
    <hyperlink ref="K2" r:id="rId3" xr:uid="{BEC7156F-2E28-4E34-B15F-6243F2A2A510}"/>
    <hyperlink ref="K3" r:id="rId4" xr:uid="{F9178857-9386-41FC-83EF-1E5754D5CDAF}"/>
    <hyperlink ref="H3" r:id="rId5" xr:uid="{3F639BD4-C45B-4E6F-86E6-DF700DDB5737}"/>
    <hyperlink ref="N3" r:id="rId6" xr:uid="{16EA6FF6-8EBD-4D03-B863-9F95070E8088}"/>
    <hyperlink ref="D3" r:id="rId7" xr:uid="{005EFD9A-AC6B-4BC1-87FA-455B47CEA48D}"/>
    <hyperlink ref="N2" r:id="rId8" xr:uid="{AE8EC515-E3CB-456A-9B16-B823793FA336}"/>
    <hyperlink ref="N4" r:id="rId9" xr:uid="{2AF4E740-56EA-41FC-9C31-481FD126FE19}"/>
    <hyperlink ref="K4" r:id="rId10" xr:uid="{930D4557-3C9C-44A7-A7A0-B8CB8370F324}"/>
    <hyperlink ref="H4" r:id="rId11" xr:uid="{4E391F36-EB1F-4454-B503-90778AFBE43F}"/>
    <hyperlink ref="D4" r:id="rId12" xr:uid="{F86F903F-B0D3-4E7E-937F-EFB6E3A17888}"/>
    <hyperlink ref="H5" r:id="rId13" xr:uid="{B9CD3AEC-AADB-4ACC-9A89-09051AB5A979}"/>
    <hyperlink ref="D8" r:id="rId14" xr:uid="{0E57BD58-C660-4BEB-9B3B-0ACC44FB7151}"/>
    <hyperlink ref="D7" r:id="rId15" xr:uid="{F188BDA6-9487-4B6E-BEFD-C1B8C770AB7A}"/>
    <hyperlink ref="D6" r:id="rId16" xr:uid="{884DC112-E587-47EE-8CF2-73AB46EE73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58E7-DB47-4ABF-BF8D-59D98523F4EB}">
  <sheetPr>
    <tabColor rgb="FFFFC000"/>
  </sheetPr>
  <dimension ref="A1:Z28"/>
  <sheetViews>
    <sheetView topLeftCell="B1" workbookViewId="0">
      <pane ySplit="1" topLeftCell="A12" activePane="bottomLeft" state="frozen"/>
      <selection activeCell="B1" sqref="B1"/>
      <selection pane="bottomLeft" activeCell="S16" sqref="S16"/>
    </sheetView>
  </sheetViews>
  <sheetFormatPr defaultColWidth="9.140625" defaultRowHeight="15" x14ac:dyDescent="0.25"/>
  <cols>
    <col min="1" max="1" width="18.28515625" style="19" hidden="1" customWidth="1"/>
    <col min="2" max="2" width="12.7109375" style="1" customWidth="1"/>
    <col min="3" max="3" width="29.42578125" style="1" customWidth="1"/>
    <col min="4" max="4" width="9.42578125" style="1" customWidth="1"/>
    <col min="5" max="5" width="23.7109375" style="1" customWidth="1"/>
    <col min="6" max="6" width="9.85546875" style="1" customWidth="1"/>
    <col min="7" max="7" width="23.140625" style="1" customWidth="1"/>
    <col min="8" max="8" width="9.42578125" style="1" customWidth="1"/>
    <col min="9" max="9" width="25.42578125" style="1" customWidth="1"/>
    <col min="10" max="10" width="8.85546875" style="1" customWidth="1"/>
    <col min="11" max="11" width="25" style="1" customWidth="1"/>
    <col min="12" max="12" width="11.42578125" style="1" customWidth="1"/>
    <col min="13" max="13" width="25" style="1" customWidth="1"/>
    <col min="14" max="14" width="12.7109375" style="1" hidden="1" customWidth="1"/>
    <col min="15" max="15" width="24.7109375" style="1" hidden="1" customWidth="1"/>
    <col min="16" max="16" width="12.7109375" style="1" customWidth="1"/>
    <col min="17" max="17" width="28.5703125" style="1" customWidth="1"/>
    <col min="18" max="18" width="12.7109375" style="1" customWidth="1"/>
    <col min="19" max="19" width="26.5703125" style="1" customWidth="1"/>
    <col min="20" max="20" width="12.7109375" style="1" customWidth="1"/>
    <col min="21" max="21" width="15.5703125" style="1" customWidth="1"/>
    <col min="22" max="28" width="12.7109375" style="1" customWidth="1"/>
    <col min="29" max="16384" width="9.140625" style="1"/>
  </cols>
  <sheetData>
    <row r="1" spans="1:26" ht="75" x14ac:dyDescent="0.25">
      <c r="A1" s="51" t="s">
        <v>170</v>
      </c>
      <c r="B1" s="24" t="s">
        <v>6</v>
      </c>
      <c r="C1" s="6" t="s">
        <v>102</v>
      </c>
      <c r="D1" s="6" t="s">
        <v>280</v>
      </c>
      <c r="E1" s="6" t="s">
        <v>103</v>
      </c>
      <c r="F1" s="6" t="s">
        <v>282</v>
      </c>
      <c r="G1" s="6" t="s">
        <v>104</v>
      </c>
      <c r="H1" s="6" t="s">
        <v>281</v>
      </c>
      <c r="I1" s="6" t="s">
        <v>105</v>
      </c>
      <c r="J1" s="6" t="s">
        <v>283</v>
      </c>
      <c r="K1" s="6" t="s">
        <v>286</v>
      </c>
      <c r="L1" s="6" t="s">
        <v>296</v>
      </c>
      <c r="M1" s="6" t="s">
        <v>297</v>
      </c>
      <c r="N1" s="6" t="s">
        <v>284</v>
      </c>
      <c r="O1" s="6" t="s">
        <v>106</v>
      </c>
      <c r="P1" s="6" t="s">
        <v>285</v>
      </c>
      <c r="Q1" s="6" t="s">
        <v>107</v>
      </c>
      <c r="R1" s="6" t="s">
        <v>108</v>
      </c>
      <c r="S1" s="6" t="s">
        <v>109</v>
      </c>
      <c r="T1" s="6" t="s">
        <v>110</v>
      </c>
      <c r="U1" s="6" t="s">
        <v>9</v>
      </c>
      <c r="V1" s="36"/>
      <c r="W1" s="36"/>
      <c r="X1" s="36"/>
      <c r="Y1" s="36"/>
      <c r="Z1" s="36"/>
    </row>
    <row r="2" spans="1:26" ht="135" x14ac:dyDescent="0.25">
      <c r="A2" s="51"/>
      <c r="B2" s="25" t="s">
        <v>10</v>
      </c>
      <c r="C2" s="20" t="s">
        <v>197</v>
      </c>
      <c r="D2" s="20" t="s">
        <v>163</v>
      </c>
      <c r="E2" s="20" t="s">
        <v>198</v>
      </c>
      <c r="F2" s="20" t="s">
        <v>163</v>
      </c>
      <c r="G2" s="20" t="s">
        <v>199</v>
      </c>
      <c r="H2" s="20" t="s">
        <v>163</v>
      </c>
      <c r="I2" s="20" t="s">
        <v>200</v>
      </c>
      <c r="J2" s="20" t="s">
        <v>163</v>
      </c>
      <c r="K2" s="20" t="s">
        <v>201</v>
      </c>
      <c r="L2" s="20"/>
      <c r="M2" s="20"/>
      <c r="N2" s="20" t="s">
        <v>202</v>
      </c>
      <c r="O2" s="20" t="s">
        <v>203</v>
      </c>
      <c r="P2" s="20" t="s">
        <v>163</v>
      </c>
      <c r="Q2" s="20" t="s">
        <v>164</v>
      </c>
      <c r="R2" s="20" t="s">
        <v>163</v>
      </c>
      <c r="S2" s="20" t="s">
        <v>165</v>
      </c>
      <c r="T2" s="21" t="s">
        <v>166</v>
      </c>
      <c r="U2" s="20"/>
    </row>
    <row r="3" spans="1:26" ht="210" x14ac:dyDescent="0.25">
      <c r="A3" s="51"/>
      <c r="B3" s="25" t="s">
        <v>11</v>
      </c>
      <c r="C3" s="20" t="s">
        <v>169</v>
      </c>
      <c r="D3" s="20" t="s">
        <v>163</v>
      </c>
      <c r="E3" s="20" t="s">
        <v>168</v>
      </c>
      <c r="F3" s="20" t="s">
        <v>163</v>
      </c>
      <c r="G3" s="20" t="s">
        <v>171</v>
      </c>
      <c r="H3" s="20" t="s">
        <v>163</v>
      </c>
      <c r="I3" s="20" t="s">
        <v>172</v>
      </c>
      <c r="J3" s="20" t="s">
        <v>163</v>
      </c>
      <c r="K3" s="20" t="s">
        <v>173</v>
      </c>
      <c r="L3" s="20" t="s">
        <v>163</v>
      </c>
      <c r="M3" s="20" t="s">
        <v>302</v>
      </c>
      <c r="N3" s="20" t="s">
        <v>174</v>
      </c>
      <c r="O3" s="20" t="s">
        <v>175</v>
      </c>
      <c r="P3" s="20" t="s">
        <v>163</v>
      </c>
      <c r="Q3" s="20" t="s">
        <v>176</v>
      </c>
      <c r="R3" s="20" t="s">
        <v>177</v>
      </c>
      <c r="S3" s="20"/>
      <c r="T3" s="21" t="s">
        <v>167</v>
      </c>
      <c r="U3" s="20"/>
    </row>
    <row r="4" spans="1:26" ht="360" x14ac:dyDescent="0.25">
      <c r="A4" s="51"/>
      <c r="B4" s="25" t="s">
        <v>12</v>
      </c>
      <c r="C4" s="20" t="s">
        <v>179</v>
      </c>
      <c r="D4" s="20" t="s">
        <v>163</v>
      </c>
      <c r="E4" s="20" t="s">
        <v>180</v>
      </c>
      <c r="F4" s="20" t="s">
        <v>163</v>
      </c>
      <c r="G4" s="20" t="s">
        <v>181</v>
      </c>
      <c r="H4" s="20" t="s">
        <v>163</v>
      </c>
      <c r="I4" s="20" t="s">
        <v>182</v>
      </c>
      <c r="J4" s="20" t="s">
        <v>163</v>
      </c>
      <c r="K4" s="20" t="s">
        <v>183</v>
      </c>
      <c r="L4" s="20" t="s">
        <v>163</v>
      </c>
      <c r="M4" s="20" t="s">
        <v>308</v>
      </c>
      <c r="N4" s="20" t="s">
        <v>184</v>
      </c>
      <c r="O4" s="20" t="s">
        <v>185</v>
      </c>
      <c r="P4" s="20" t="s">
        <v>177</v>
      </c>
      <c r="Q4" s="20"/>
      <c r="R4" s="20" t="s">
        <v>177</v>
      </c>
      <c r="S4" s="20"/>
      <c r="T4" s="21" t="s">
        <v>178</v>
      </c>
      <c r="U4" s="20"/>
    </row>
    <row r="5" spans="1:26" ht="255" x14ac:dyDescent="0.25">
      <c r="A5" s="51"/>
      <c r="B5" s="25" t="s">
        <v>13</v>
      </c>
      <c r="C5" s="20" t="s">
        <v>187</v>
      </c>
      <c r="D5" s="20" t="s">
        <v>188</v>
      </c>
      <c r="E5" s="20" t="s">
        <v>189</v>
      </c>
      <c r="F5" s="20" t="s">
        <v>163</v>
      </c>
      <c r="G5" s="20" t="s">
        <v>190</v>
      </c>
      <c r="H5" s="20" t="s">
        <v>163</v>
      </c>
      <c r="I5" s="20" t="s">
        <v>191</v>
      </c>
      <c r="J5" s="20" t="s">
        <v>163</v>
      </c>
      <c r="K5" s="20" t="s">
        <v>192</v>
      </c>
      <c r="L5" s="20" t="s">
        <v>163</v>
      </c>
      <c r="M5" s="20" t="s">
        <v>305</v>
      </c>
      <c r="N5" s="20" t="s">
        <v>193</v>
      </c>
      <c r="O5" s="20" t="s">
        <v>194</v>
      </c>
      <c r="P5" s="20" t="s">
        <v>195</v>
      </c>
      <c r="Q5" s="20" t="s">
        <v>196</v>
      </c>
      <c r="R5" s="20" t="s">
        <v>177</v>
      </c>
      <c r="S5" s="20"/>
      <c r="T5" s="21" t="s">
        <v>186</v>
      </c>
      <c r="U5" s="20"/>
    </row>
    <row r="6" spans="1:26" ht="135.75" thickBot="1" x14ac:dyDescent="0.3">
      <c r="A6" s="51"/>
      <c r="B6" s="25" t="s">
        <v>14</v>
      </c>
      <c r="C6" s="20" t="s">
        <v>1140</v>
      </c>
      <c r="D6" s="20" t="s">
        <v>163</v>
      </c>
      <c r="E6" s="20" t="s">
        <v>1141</v>
      </c>
      <c r="F6" s="20" t="s">
        <v>163</v>
      </c>
      <c r="G6" s="20" t="s">
        <v>1142</v>
      </c>
      <c r="H6" s="20" t="s">
        <v>163</v>
      </c>
      <c r="I6" s="20" t="s">
        <v>1143</v>
      </c>
      <c r="J6" s="20" t="s">
        <v>163</v>
      </c>
      <c r="K6" s="20" t="s">
        <v>1144</v>
      </c>
      <c r="L6" s="20" t="s">
        <v>163</v>
      </c>
      <c r="M6" s="20" t="s">
        <v>1145</v>
      </c>
      <c r="N6" s="20"/>
      <c r="O6" s="20"/>
      <c r="P6" s="20" t="s">
        <v>177</v>
      </c>
      <c r="Q6" s="20" t="s">
        <v>1146</v>
      </c>
      <c r="R6" s="20" t="s">
        <v>163</v>
      </c>
      <c r="S6" s="20" t="s">
        <v>1147</v>
      </c>
      <c r="T6" s="20"/>
      <c r="U6" s="20"/>
    </row>
    <row r="7" spans="1:26" ht="240.75" thickBot="1" x14ac:dyDescent="0.3">
      <c r="A7" s="51"/>
      <c r="B7" s="25" t="s">
        <v>15</v>
      </c>
      <c r="C7" s="23" t="s">
        <v>204</v>
      </c>
      <c r="D7" s="22" t="s">
        <v>163</v>
      </c>
      <c r="E7" s="22" t="s">
        <v>205</v>
      </c>
      <c r="F7" s="22" t="s">
        <v>163</v>
      </c>
      <c r="G7" s="20" t="s">
        <v>206</v>
      </c>
      <c r="H7" s="20" t="s">
        <v>163</v>
      </c>
      <c r="I7" s="20" t="s">
        <v>207</v>
      </c>
      <c r="J7" s="20" t="s">
        <v>163</v>
      </c>
      <c r="K7" s="20" t="s">
        <v>208</v>
      </c>
      <c r="L7" s="20" t="s">
        <v>163</v>
      </c>
      <c r="M7" s="20" t="s">
        <v>300</v>
      </c>
      <c r="N7" s="20" t="s">
        <v>163</v>
      </c>
      <c r="O7" s="20" t="s">
        <v>209</v>
      </c>
      <c r="P7" s="20" t="s">
        <v>163</v>
      </c>
      <c r="Q7" s="20" t="s">
        <v>210</v>
      </c>
      <c r="R7" s="20" t="s">
        <v>163</v>
      </c>
      <c r="S7" s="20" t="s">
        <v>211</v>
      </c>
      <c r="T7" s="20"/>
      <c r="U7" s="20" t="s">
        <v>212</v>
      </c>
    </row>
    <row r="8" spans="1:26" ht="255" x14ac:dyDescent="0.25">
      <c r="A8" s="51"/>
      <c r="B8" s="25" t="s">
        <v>16</v>
      </c>
      <c r="C8" s="20" t="s">
        <v>264</v>
      </c>
      <c r="D8" s="20" t="s">
        <v>163</v>
      </c>
      <c r="E8" s="20" t="s">
        <v>265</v>
      </c>
      <c r="F8" s="20" t="s">
        <v>163</v>
      </c>
      <c r="G8" s="20" t="s">
        <v>266</v>
      </c>
      <c r="H8" s="20" t="s">
        <v>163</v>
      </c>
      <c r="I8" s="20" t="s">
        <v>267</v>
      </c>
      <c r="J8" s="20" t="s">
        <v>163</v>
      </c>
      <c r="K8" s="20" t="s">
        <v>268</v>
      </c>
      <c r="L8" s="20" t="s">
        <v>163</v>
      </c>
      <c r="M8" s="20" t="s">
        <v>301</v>
      </c>
      <c r="N8" s="20" t="s">
        <v>202</v>
      </c>
      <c r="O8" s="20" t="s">
        <v>269</v>
      </c>
      <c r="P8" s="20" t="s">
        <v>163</v>
      </c>
      <c r="Q8" s="20" t="s">
        <v>270</v>
      </c>
      <c r="R8" s="20" t="s">
        <v>202</v>
      </c>
      <c r="S8" s="20" t="s">
        <v>271</v>
      </c>
      <c r="T8" s="21" t="s">
        <v>263</v>
      </c>
      <c r="U8" s="20"/>
    </row>
    <row r="9" spans="1:26" ht="315" x14ac:dyDescent="0.25">
      <c r="A9" s="51"/>
      <c r="B9" s="25" t="s">
        <v>17</v>
      </c>
      <c r="C9" s="20" t="s">
        <v>272</v>
      </c>
      <c r="D9" s="20" t="s">
        <v>163</v>
      </c>
      <c r="E9" s="20" t="s">
        <v>273</v>
      </c>
      <c r="F9" s="20" t="s">
        <v>163</v>
      </c>
      <c r="G9" s="20" t="s">
        <v>274</v>
      </c>
      <c r="H9" s="20" t="s">
        <v>163</v>
      </c>
      <c r="I9" s="20" t="s">
        <v>275</v>
      </c>
      <c r="J9" s="20" t="s">
        <v>163</v>
      </c>
      <c r="K9" s="20" t="s">
        <v>276</v>
      </c>
      <c r="L9" s="20" t="s">
        <v>163</v>
      </c>
      <c r="M9" s="20" t="s">
        <v>303</v>
      </c>
      <c r="N9" s="20" t="s">
        <v>277</v>
      </c>
      <c r="O9" s="20" t="s">
        <v>278</v>
      </c>
      <c r="P9" s="20" t="s">
        <v>163</v>
      </c>
      <c r="Q9" s="20" t="s">
        <v>279</v>
      </c>
      <c r="R9" s="20"/>
      <c r="S9" s="20"/>
      <c r="T9" s="20"/>
      <c r="U9" s="20"/>
    </row>
    <row r="10" spans="1:26" ht="360" x14ac:dyDescent="0.25">
      <c r="A10" s="51"/>
      <c r="B10" s="25" t="s">
        <v>18</v>
      </c>
      <c r="C10" s="20" t="s">
        <v>294</v>
      </c>
      <c r="D10" s="20" t="s">
        <v>163</v>
      </c>
      <c r="E10" s="20" t="s">
        <v>295</v>
      </c>
      <c r="F10" s="20" t="s">
        <v>163</v>
      </c>
      <c r="G10" s="20" t="s">
        <v>298</v>
      </c>
      <c r="H10" s="20" t="s">
        <v>163</v>
      </c>
      <c r="I10" s="20" t="s">
        <v>299</v>
      </c>
      <c r="J10" s="20" t="s">
        <v>163</v>
      </c>
      <c r="K10" s="20" t="s">
        <v>309</v>
      </c>
      <c r="L10" s="20" t="s">
        <v>163</v>
      </c>
      <c r="M10" s="20" t="s">
        <v>304</v>
      </c>
      <c r="N10" s="20"/>
      <c r="O10" s="20"/>
      <c r="P10" s="20" t="s">
        <v>163</v>
      </c>
      <c r="Q10" s="20" t="s">
        <v>310</v>
      </c>
      <c r="R10" s="20" t="s">
        <v>163</v>
      </c>
      <c r="S10" s="20" t="s">
        <v>311</v>
      </c>
      <c r="T10" s="20"/>
      <c r="U10" s="20"/>
    </row>
    <row r="11" spans="1:26" ht="315" x14ac:dyDescent="0.25">
      <c r="A11" s="51"/>
      <c r="B11" s="25" t="s">
        <v>19</v>
      </c>
      <c r="C11" s="20" t="s">
        <v>312</v>
      </c>
      <c r="D11" s="20" t="s">
        <v>163</v>
      </c>
      <c r="E11" s="20" t="s">
        <v>313</v>
      </c>
      <c r="F11" s="20" t="s">
        <v>163</v>
      </c>
      <c r="G11" s="20" t="s">
        <v>314</v>
      </c>
      <c r="H11" s="20" t="s">
        <v>163</v>
      </c>
      <c r="I11" s="20" t="s">
        <v>315</v>
      </c>
      <c r="J11" s="20" t="s">
        <v>163</v>
      </c>
      <c r="K11" s="20" t="s">
        <v>316</v>
      </c>
      <c r="L11" s="20" t="s">
        <v>163</v>
      </c>
      <c r="M11" s="20" t="s">
        <v>317</v>
      </c>
      <c r="N11" s="20"/>
      <c r="O11" s="20"/>
      <c r="P11" s="20" t="s">
        <v>163</v>
      </c>
      <c r="Q11" s="20" t="s">
        <v>318</v>
      </c>
      <c r="R11" s="20" t="s">
        <v>163</v>
      </c>
      <c r="S11" s="20" t="s">
        <v>319</v>
      </c>
      <c r="T11" s="20"/>
      <c r="U11" s="20"/>
    </row>
    <row r="12" spans="1:26" ht="285" x14ac:dyDescent="0.25">
      <c r="A12" s="51"/>
      <c r="B12" s="25" t="s">
        <v>20</v>
      </c>
      <c r="C12" s="20" t="s">
        <v>320</v>
      </c>
      <c r="D12" s="20" t="s">
        <v>163</v>
      </c>
      <c r="E12" s="20" t="s">
        <v>321</v>
      </c>
      <c r="F12" s="20" t="s">
        <v>163</v>
      </c>
      <c r="G12" s="20" t="s">
        <v>322</v>
      </c>
      <c r="H12" s="20" t="s">
        <v>163</v>
      </c>
      <c r="I12" s="20" t="s">
        <v>323</v>
      </c>
      <c r="J12" s="20" t="s">
        <v>163</v>
      </c>
      <c r="K12" s="20" t="s">
        <v>324</v>
      </c>
      <c r="L12" s="20" t="s">
        <v>163</v>
      </c>
      <c r="M12" s="20" t="s">
        <v>325</v>
      </c>
      <c r="N12" s="20"/>
      <c r="O12" s="20"/>
      <c r="P12" s="20" t="s">
        <v>163</v>
      </c>
      <c r="Q12" s="20" t="s">
        <v>326</v>
      </c>
      <c r="R12" s="20" t="s">
        <v>177</v>
      </c>
      <c r="S12" s="20" t="s">
        <v>327</v>
      </c>
      <c r="T12" s="20"/>
      <c r="U12" s="20"/>
    </row>
    <row r="13" spans="1:26" x14ac:dyDescent="0.25">
      <c r="A13" s="51"/>
      <c r="B13" s="25" t="s">
        <v>21</v>
      </c>
      <c r="C13" s="20"/>
      <c r="D13" s="20"/>
      <c r="E13" s="20"/>
      <c r="F13" s="20"/>
      <c r="G13" s="20"/>
      <c r="H13" s="20"/>
      <c r="I13" s="20"/>
      <c r="J13" s="20"/>
      <c r="K13" s="20"/>
      <c r="L13" s="20"/>
      <c r="M13" s="20"/>
      <c r="N13" s="20"/>
      <c r="O13" s="20"/>
      <c r="P13" s="20"/>
      <c r="Q13" s="20"/>
      <c r="R13" s="20"/>
      <c r="S13" s="20"/>
      <c r="T13" s="20"/>
      <c r="U13" s="20"/>
    </row>
    <row r="14" spans="1:26" ht="210" x14ac:dyDescent="0.25">
      <c r="A14" s="51"/>
      <c r="B14" s="25" t="s">
        <v>22</v>
      </c>
      <c r="C14" s="20" t="s">
        <v>1957</v>
      </c>
      <c r="D14" s="20" t="s">
        <v>163</v>
      </c>
      <c r="E14" s="20" t="s">
        <v>1958</v>
      </c>
      <c r="F14" s="20" t="s">
        <v>163</v>
      </c>
      <c r="G14" s="20" t="s">
        <v>1959</v>
      </c>
      <c r="H14" s="20" t="s">
        <v>163</v>
      </c>
      <c r="I14" s="20" t="s">
        <v>1962</v>
      </c>
      <c r="J14" s="20" t="s">
        <v>163</v>
      </c>
      <c r="K14" s="20" t="s">
        <v>1960</v>
      </c>
      <c r="L14" s="20" t="s">
        <v>163</v>
      </c>
      <c r="M14" s="20" t="s">
        <v>1961</v>
      </c>
      <c r="N14" s="20"/>
      <c r="O14" s="20"/>
      <c r="P14" s="20" t="s">
        <v>163</v>
      </c>
      <c r="Q14" s="20" t="s">
        <v>1963</v>
      </c>
      <c r="R14" s="20" t="s">
        <v>163</v>
      </c>
      <c r="S14" s="20" t="s">
        <v>1964</v>
      </c>
      <c r="T14" s="20"/>
      <c r="U14" s="20"/>
    </row>
    <row r="15" spans="1:26" ht="285" x14ac:dyDescent="0.25">
      <c r="A15" s="51"/>
      <c r="B15" s="25" t="s">
        <v>23</v>
      </c>
      <c r="C15" s="20" t="s">
        <v>1965</v>
      </c>
      <c r="D15" s="20" t="s">
        <v>163</v>
      </c>
      <c r="E15" s="20" t="s">
        <v>1966</v>
      </c>
      <c r="F15" s="20" t="s">
        <v>163</v>
      </c>
      <c r="G15" s="20" t="s">
        <v>1967</v>
      </c>
      <c r="H15" s="20" t="s">
        <v>163</v>
      </c>
      <c r="I15" s="20" t="s">
        <v>1968</v>
      </c>
      <c r="J15" s="20" t="s">
        <v>163</v>
      </c>
      <c r="K15" s="20" t="s">
        <v>1969</v>
      </c>
      <c r="L15" s="20" t="s">
        <v>163</v>
      </c>
      <c r="M15" s="20" t="s">
        <v>1970</v>
      </c>
      <c r="N15" s="20"/>
      <c r="O15" s="20"/>
      <c r="P15" s="20" t="s">
        <v>163</v>
      </c>
      <c r="Q15" s="20" t="s">
        <v>1971</v>
      </c>
      <c r="R15" s="20" t="s">
        <v>163</v>
      </c>
      <c r="S15" s="20" t="s">
        <v>1972</v>
      </c>
      <c r="T15" s="20"/>
      <c r="U15" s="20"/>
    </row>
    <row r="16" spans="1:26" ht="30" x14ac:dyDescent="0.25">
      <c r="A16" s="51"/>
      <c r="B16" s="25" t="s">
        <v>24</v>
      </c>
      <c r="C16" s="20"/>
      <c r="D16" s="20"/>
      <c r="E16" s="20"/>
      <c r="F16" s="20"/>
      <c r="G16" s="20"/>
      <c r="H16" s="20"/>
      <c r="I16" s="20"/>
      <c r="J16" s="20"/>
      <c r="K16" s="20"/>
      <c r="L16" s="20"/>
      <c r="M16" s="20"/>
      <c r="N16" s="20"/>
      <c r="O16" s="20"/>
      <c r="P16" s="20"/>
      <c r="Q16" s="20"/>
      <c r="R16" s="20"/>
      <c r="S16" s="20"/>
      <c r="T16" s="20"/>
      <c r="U16" s="20"/>
    </row>
    <row r="17" spans="1:21" x14ac:dyDescent="0.25">
      <c r="A17" s="51"/>
      <c r="B17" s="25" t="s">
        <v>25</v>
      </c>
      <c r="C17" s="20"/>
      <c r="D17" s="20"/>
      <c r="E17" s="20"/>
      <c r="F17" s="20"/>
      <c r="G17" s="20"/>
      <c r="H17" s="20"/>
      <c r="I17" s="20"/>
      <c r="J17" s="20"/>
      <c r="K17" s="20"/>
      <c r="L17" s="20"/>
      <c r="M17" s="20"/>
      <c r="N17" s="20"/>
      <c r="O17" s="20"/>
      <c r="P17" s="20"/>
      <c r="Q17" s="20"/>
      <c r="R17" s="20"/>
      <c r="S17" s="20"/>
      <c r="T17" s="20"/>
      <c r="U17" s="20"/>
    </row>
    <row r="18" spans="1:21" x14ac:dyDescent="0.25">
      <c r="A18" s="51"/>
      <c r="B18" s="25" t="s">
        <v>26</v>
      </c>
      <c r="C18" s="20"/>
      <c r="D18" s="20"/>
      <c r="E18" s="20"/>
      <c r="F18" s="20"/>
      <c r="G18" s="20"/>
      <c r="H18" s="20"/>
      <c r="I18" s="20"/>
      <c r="J18" s="20"/>
      <c r="K18" s="20"/>
      <c r="L18" s="20"/>
      <c r="M18" s="20"/>
      <c r="N18" s="20"/>
      <c r="O18" s="20"/>
      <c r="P18" s="20"/>
      <c r="Q18" s="20"/>
      <c r="R18" s="20"/>
      <c r="S18" s="20"/>
      <c r="T18" s="20"/>
      <c r="U18" s="20"/>
    </row>
    <row r="19" spans="1:21" x14ac:dyDescent="0.25">
      <c r="A19" s="51"/>
      <c r="B19" s="25" t="s">
        <v>27</v>
      </c>
      <c r="C19" s="20"/>
      <c r="D19" s="20"/>
      <c r="E19" s="20"/>
      <c r="F19" s="20"/>
      <c r="G19" s="20"/>
      <c r="H19" s="20"/>
      <c r="I19" s="20"/>
      <c r="J19" s="20"/>
      <c r="K19" s="20"/>
      <c r="L19" s="20"/>
      <c r="M19" s="20"/>
      <c r="N19" s="20"/>
      <c r="O19" s="20"/>
      <c r="P19" s="20"/>
      <c r="Q19" s="20"/>
      <c r="R19" s="20"/>
      <c r="S19" s="20"/>
      <c r="T19" s="20"/>
      <c r="U19" s="20"/>
    </row>
    <row r="20" spans="1:21" ht="45" x14ac:dyDescent="0.25">
      <c r="A20" s="51"/>
      <c r="B20" s="25" t="s">
        <v>28</v>
      </c>
      <c r="C20" s="20"/>
      <c r="D20" s="20"/>
      <c r="E20" s="20"/>
      <c r="F20" s="20"/>
      <c r="G20" s="20"/>
      <c r="H20" s="20"/>
      <c r="I20" s="20"/>
      <c r="J20" s="20"/>
      <c r="K20" s="20"/>
      <c r="L20" s="20"/>
      <c r="M20" s="20"/>
      <c r="N20" s="20"/>
      <c r="O20" s="20"/>
      <c r="P20" s="20"/>
      <c r="Q20" s="20"/>
      <c r="R20" s="20"/>
      <c r="S20" s="20"/>
      <c r="T20" s="20"/>
      <c r="U20" s="20"/>
    </row>
    <row r="21" spans="1:21" x14ac:dyDescent="0.25">
      <c r="A21" s="51"/>
      <c r="B21" s="25" t="s">
        <v>29</v>
      </c>
      <c r="C21" s="20"/>
      <c r="D21" s="20"/>
      <c r="E21" s="20"/>
      <c r="F21" s="20"/>
      <c r="G21" s="20"/>
      <c r="H21" s="20"/>
      <c r="I21" s="20"/>
      <c r="J21" s="20"/>
      <c r="K21" s="20"/>
      <c r="L21" s="20"/>
      <c r="M21" s="20"/>
      <c r="N21" s="20"/>
      <c r="O21" s="20"/>
      <c r="P21" s="20"/>
      <c r="Q21" s="20"/>
      <c r="R21" s="20"/>
      <c r="S21" s="20"/>
      <c r="T21" s="20"/>
      <c r="U21" s="20"/>
    </row>
    <row r="22" spans="1:21" x14ac:dyDescent="0.25">
      <c r="A22" s="51"/>
      <c r="B22" s="25" t="s">
        <v>30</v>
      </c>
      <c r="C22" s="20"/>
      <c r="D22" s="20"/>
      <c r="E22" s="20"/>
      <c r="F22" s="20"/>
      <c r="G22" s="20"/>
      <c r="H22" s="20"/>
      <c r="I22" s="20"/>
      <c r="J22" s="20"/>
      <c r="K22" s="20"/>
      <c r="L22" s="20"/>
      <c r="M22" s="20"/>
      <c r="N22" s="20"/>
      <c r="O22" s="20"/>
      <c r="P22" s="20"/>
      <c r="Q22" s="20"/>
      <c r="R22" s="20"/>
      <c r="S22" s="20"/>
      <c r="T22" s="20"/>
      <c r="U22" s="20"/>
    </row>
    <row r="23" spans="1:21" ht="30" x14ac:dyDescent="0.25">
      <c r="A23" s="51"/>
      <c r="B23" s="25" t="s">
        <v>31</v>
      </c>
      <c r="C23" s="20"/>
      <c r="D23" s="20"/>
      <c r="E23" s="20"/>
      <c r="F23" s="20"/>
      <c r="G23" s="20"/>
      <c r="H23" s="20"/>
      <c r="I23" s="20"/>
      <c r="J23" s="20"/>
      <c r="K23" s="20"/>
      <c r="L23" s="20"/>
      <c r="M23" s="20"/>
      <c r="N23" s="20"/>
      <c r="O23" s="20"/>
      <c r="P23" s="20"/>
      <c r="Q23" s="20"/>
      <c r="R23" s="20"/>
      <c r="S23" s="20"/>
      <c r="T23" s="20"/>
      <c r="U23" s="20"/>
    </row>
    <row r="24" spans="1:21" ht="30" x14ac:dyDescent="0.25">
      <c r="A24" s="51"/>
      <c r="B24" s="25" t="s">
        <v>32</v>
      </c>
      <c r="C24" s="20"/>
      <c r="D24" s="20"/>
      <c r="E24" s="20"/>
      <c r="F24" s="20"/>
      <c r="G24" s="20"/>
      <c r="H24" s="20"/>
      <c r="I24" s="20"/>
      <c r="J24" s="20"/>
      <c r="K24" s="20"/>
      <c r="L24" s="20"/>
      <c r="M24" s="20"/>
      <c r="N24" s="20"/>
      <c r="O24" s="20"/>
      <c r="P24" s="20"/>
      <c r="Q24" s="20"/>
      <c r="R24" s="20"/>
      <c r="S24" s="20"/>
      <c r="T24" s="20"/>
      <c r="U24" s="20"/>
    </row>
    <row r="25" spans="1:21" ht="30" x14ac:dyDescent="0.25">
      <c r="A25" s="51"/>
      <c r="B25" s="25" t="s">
        <v>33</v>
      </c>
      <c r="C25" s="20"/>
      <c r="D25" s="20"/>
      <c r="E25" s="20"/>
      <c r="F25" s="20"/>
      <c r="G25" s="20"/>
      <c r="H25" s="20"/>
      <c r="I25" s="20"/>
      <c r="J25" s="20"/>
      <c r="K25" s="20"/>
      <c r="L25" s="20"/>
      <c r="M25" s="20"/>
      <c r="N25" s="20"/>
      <c r="O25" s="20"/>
      <c r="P25" s="20"/>
      <c r="Q25" s="20"/>
      <c r="R25" s="20"/>
      <c r="S25" s="20"/>
      <c r="T25" s="20"/>
      <c r="U25" s="20"/>
    </row>
    <row r="26" spans="1:21" x14ac:dyDescent="0.25">
      <c r="A26" s="51"/>
      <c r="B26" s="25" t="s">
        <v>34</v>
      </c>
      <c r="C26" s="20"/>
      <c r="D26" s="20"/>
      <c r="E26" s="20"/>
      <c r="F26" s="20"/>
      <c r="G26" s="20"/>
      <c r="H26" s="20"/>
      <c r="I26" s="20"/>
      <c r="J26" s="20"/>
      <c r="K26" s="20"/>
      <c r="L26" s="20"/>
      <c r="M26" s="20"/>
      <c r="N26" s="20"/>
      <c r="O26" s="20"/>
      <c r="P26" s="20"/>
      <c r="Q26" s="20"/>
      <c r="R26" s="20"/>
      <c r="S26" s="20"/>
      <c r="T26" s="20"/>
      <c r="U26" s="20"/>
    </row>
    <row r="27" spans="1:21" ht="30" x14ac:dyDescent="0.25">
      <c r="A27" s="51"/>
      <c r="B27" s="25" t="s">
        <v>35</v>
      </c>
      <c r="C27" s="20"/>
      <c r="D27" s="20"/>
      <c r="E27" s="20"/>
      <c r="F27" s="20"/>
      <c r="G27" s="20"/>
      <c r="H27" s="20"/>
      <c r="I27" s="20"/>
      <c r="J27" s="20"/>
      <c r="K27" s="20"/>
      <c r="L27" s="20"/>
      <c r="M27" s="20"/>
      <c r="N27" s="20"/>
      <c r="O27" s="20"/>
      <c r="P27" s="20"/>
      <c r="Q27" s="20"/>
      <c r="R27" s="20"/>
      <c r="S27" s="20"/>
      <c r="T27" s="20"/>
      <c r="U27" s="20"/>
    </row>
    <row r="28" spans="1:21" x14ac:dyDescent="0.25">
      <c r="A28" s="51"/>
      <c r="B28" s="25" t="s">
        <v>36</v>
      </c>
      <c r="C28" s="20"/>
      <c r="D28" s="20"/>
      <c r="E28" s="20"/>
      <c r="F28" s="20"/>
      <c r="G28" s="20"/>
      <c r="H28" s="20"/>
      <c r="I28" s="20"/>
      <c r="J28" s="20"/>
      <c r="K28" s="20"/>
      <c r="L28" s="20"/>
      <c r="M28" s="20"/>
      <c r="N28" s="20"/>
      <c r="O28" s="20"/>
      <c r="P28" s="20"/>
      <c r="Q28" s="20"/>
      <c r="R28" s="20"/>
      <c r="S28" s="20"/>
      <c r="T28" s="20"/>
      <c r="U28" s="20"/>
    </row>
  </sheetData>
  <mergeCells count="1">
    <mergeCell ref="A1:A28"/>
  </mergeCells>
  <hyperlinks>
    <hyperlink ref="T3" r:id="rId1" xr:uid="{13C74F32-2C99-4650-8B4C-2E7BCDFD6C98}"/>
    <hyperlink ref="T4" r:id="rId2" xr:uid="{786A6D8C-F508-4DA6-B70D-65C1AA011C76}"/>
    <hyperlink ref="T5" r:id="rId3" xr:uid="{ACD7562A-961A-4353-8B4B-9D10E1C3DF02}"/>
    <hyperlink ref="T2" r:id="rId4" xr:uid="{D4AA338A-984B-4437-AE9C-EA91EDDC019E}"/>
    <hyperlink ref="T8" r:id="rId5" xr:uid="{20CAA549-1194-4E63-8095-9E8C725968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Purpose &amp; Methodology</vt:lpstr>
      <vt:lpstr>Master Scorecard</vt:lpstr>
      <vt:lpstr>CSI</vt:lpstr>
      <vt:lpstr>TSI</vt:lpstr>
      <vt:lpstr>Basic District Info</vt:lpstr>
      <vt:lpstr>District Contacts</vt:lpstr>
      <vt:lpstr>Leadership and Governance</vt:lpstr>
      <vt:lpstr>Strategic Indicators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Curtis, James</cp:lastModifiedBy>
  <cp:revision/>
  <dcterms:created xsi:type="dcterms:W3CDTF">2026-05-14T13:33:11Z</dcterms:created>
  <dcterms:modified xsi:type="dcterms:W3CDTF">2026-06-04T15:08:18Z</dcterms:modified>
  <cp:category/>
  <cp:contentStatus/>
</cp:coreProperties>
</file>